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128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E334291\Documents\"/>
    </mc:Choice>
  </mc:AlternateContent>
  <xr:revisionPtr revIDLastSave="0" documentId="13_ncr:1_{B086C8D2-1832-4153-9EE7-3C6BDF09C805}" xr6:coauthVersionLast="47" xr6:coauthVersionMax="47" xr10:uidLastSave="{00000000-0000-0000-0000-000000000000}"/>
  <bookViews>
    <workbookView xWindow="-108" yWindow="-108" windowWidth="23256" windowHeight="14016" tabRatio="902" xr2:uid="{00000000-000D-0000-FFFF-FFFF00000000}"/>
  </bookViews>
  <sheets>
    <sheet name="202207" sheetId="42" r:id="rId1"/>
    <sheet name="時間詳細" sheetId="43" r:id="rId2"/>
  </sheets>
  <definedNames>
    <definedName name="_xlnm.Print_Area" localSheetId="0">'202207'!$A$2:$P$41</definedName>
    <definedName name="_xlnm.Print_Area" localSheetId="1">時間詳細!$A$1:$D$101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101" i="43" l="1"/>
  <c r="D100" i="43"/>
  <c r="D99" i="43"/>
  <c r="D98" i="43"/>
  <c r="D97" i="43"/>
  <c r="D96" i="43"/>
  <c r="D95" i="43"/>
  <c r="D94" i="43"/>
  <c r="D93" i="43"/>
  <c r="D92" i="43"/>
  <c r="D91" i="43"/>
  <c r="D90" i="43"/>
  <c r="D89" i="43"/>
  <c r="D88" i="43"/>
  <c r="D87" i="43"/>
  <c r="D86" i="43"/>
  <c r="D85" i="43"/>
  <c r="D84" i="43"/>
  <c r="D83" i="43"/>
  <c r="D82" i="43"/>
  <c r="D81" i="43"/>
  <c r="D80" i="43"/>
  <c r="D79" i="43"/>
  <c r="D78" i="43"/>
  <c r="D77" i="43"/>
  <c r="D76" i="43"/>
  <c r="D75" i="43"/>
  <c r="D74" i="43"/>
  <c r="D73" i="43"/>
  <c r="D72" i="43"/>
  <c r="D71" i="43"/>
  <c r="D70" i="43"/>
  <c r="D69" i="43"/>
  <c r="D68" i="43"/>
  <c r="D67" i="43"/>
  <c r="D66" i="43"/>
  <c r="D65" i="43"/>
  <c r="D64" i="43"/>
  <c r="D63" i="43"/>
  <c r="D62" i="43"/>
  <c r="D61" i="43"/>
  <c r="D60" i="43"/>
  <c r="D59" i="43"/>
  <c r="D58" i="43"/>
  <c r="D57" i="43"/>
  <c r="D56" i="43"/>
  <c r="D55" i="43"/>
  <c r="D54" i="43"/>
  <c r="D53" i="43"/>
  <c r="D52" i="43"/>
  <c r="D51" i="43"/>
  <c r="D50" i="43"/>
  <c r="D49" i="43"/>
  <c r="D48" i="43"/>
  <c r="D47" i="43"/>
  <c r="D46" i="43"/>
  <c r="D45" i="43"/>
  <c r="D44" i="43"/>
  <c r="D43" i="43"/>
  <c r="D42" i="43"/>
  <c r="D41" i="43"/>
  <c r="D40" i="43"/>
  <c r="D39" i="43"/>
  <c r="D38" i="43"/>
  <c r="D37" i="43"/>
  <c r="D36" i="43"/>
  <c r="D35" i="43"/>
  <c r="D34" i="43"/>
  <c r="D33" i="43"/>
  <c r="D32" i="43"/>
  <c r="D31" i="43"/>
  <c r="D30" i="43"/>
  <c r="D29" i="43"/>
  <c r="D28" i="43"/>
  <c r="D27" i="43"/>
  <c r="D26" i="43"/>
  <c r="D25" i="43"/>
  <c r="H24" i="43"/>
  <c r="D24" i="43"/>
  <c r="H23" i="43"/>
  <c r="D23" i="43"/>
  <c r="H22" i="43"/>
  <c r="D22" i="43"/>
  <c r="H21" i="43"/>
  <c r="D21" i="43"/>
  <c r="I20" i="43"/>
  <c r="H20" i="43"/>
  <c r="D20" i="43"/>
  <c r="H19" i="43"/>
  <c r="D19" i="43"/>
  <c r="H18" i="43"/>
  <c r="D18" i="43"/>
  <c r="H17" i="43"/>
  <c r="D17" i="43"/>
  <c r="H16" i="43"/>
  <c r="D16" i="43"/>
  <c r="H15" i="43"/>
  <c r="I15" i="43" s="1"/>
  <c r="D15" i="43"/>
  <c r="D14" i="43"/>
  <c r="D13" i="43"/>
  <c r="D12" i="43"/>
  <c r="D11" i="43"/>
  <c r="D10" i="43"/>
  <c r="D9" i="43"/>
  <c r="D8" i="43"/>
  <c r="D7" i="43"/>
  <c r="F6" i="43"/>
  <c r="F7" i="43" s="1"/>
  <c r="D6" i="43"/>
  <c r="D5" i="43"/>
  <c r="D4" i="43"/>
  <c r="D3" i="43"/>
  <c r="I23" i="43" s="1"/>
  <c r="D2" i="43"/>
  <c r="I17" i="43" l="1"/>
  <c r="I24" i="43"/>
  <c r="I21" i="43"/>
  <c r="I18" i="43"/>
  <c r="I22" i="43"/>
  <c r="I19" i="43"/>
  <c r="I16" i="43"/>
  <c r="A5" i="42"/>
  <c r="B9" i="42"/>
  <c r="F9" i="42"/>
  <c r="G9" i="42"/>
  <c r="I9" i="42" s="1"/>
  <c r="N9" i="42" a="1"/>
  <c r="I25" i="43" l="1"/>
  <c r="H9" i="42"/>
  <c r="J9" i="42"/>
  <c r="N9" i="42"/>
  <c r="O9" i="42"/>
  <c r="P9" i="42"/>
  <c r="Y9" i="42"/>
  <c r="Z9" i="42"/>
  <c r="AA9" i="42"/>
  <c r="AI9" i="42"/>
  <c r="B10" i="42"/>
  <c r="F10" i="42"/>
  <c r="G10" i="42"/>
  <c r="H10" i="42" s="1"/>
  <c r="N10" i="42" a="1"/>
  <c r="J10" i="42" l="1"/>
  <c r="I10" i="42"/>
  <c r="N10" i="42"/>
  <c r="O10" i="42"/>
  <c r="P10" i="42"/>
  <c r="Y10" i="42"/>
  <c r="Z10" i="42"/>
  <c r="AA10" i="42"/>
  <c r="AI10" i="42"/>
  <c r="B11" i="42"/>
  <c r="F11" i="42"/>
  <c r="G11" i="42"/>
  <c r="H11" i="42"/>
  <c r="I11" i="42"/>
  <c r="J11" i="42"/>
  <c r="O11" i="42"/>
  <c r="P11" i="42"/>
  <c r="Y11" i="42"/>
  <c r="Z11" i="42"/>
  <c r="AA11" i="42"/>
  <c r="AI11" i="42"/>
  <c r="B12" i="42"/>
  <c r="F12" i="42"/>
  <c r="G12" i="42"/>
  <c r="H12" i="42"/>
  <c r="I12" i="42"/>
  <c r="J12" i="42"/>
  <c r="O12" i="42"/>
  <c r="P12" i="42"/>
  <c r="Y12" i="42"/>
  <c r="Z12" i="42"/>
  <c r="AA12" i="42"/>
  <c r="AI12" i="42"/>
  <c r="B13" i="42"/>
  <c r="F13" i="42"/>
  <c r="G13" i="42"/>
  <c r="H13" i="42"/>
  <c r="I13" i="42"/>
  <c r="J13" i="42"/>
  <c r="O13" i="42"/>
  <c r="P13" i="42"/>
  <c r="Y13" i="42"/>
  <c r="Z13" i="42"/>
  <c r="AA13" i="42"/>
  <c r="AI13" i="42"/>
  <c r="B14" i="42"/>
  <c r="F14" i="42"/>
  <c r="G14" i="42"/>
  <c r="H14" i="42"/>
  <c r="I14" i="42"/>
  <c r="J14" i="42"/>
  <c r="O14" i="42"/>
  <c r="P14" i="42"/>
  <c r="Y14" i="42"/>
  <c r="Z14" i="42"/>
  <c r="AA14" i="42"/>
  <c r="AI14" i="42"/>
  <c r="B15" i="42"/>
  <c r="F15" i="42"/>
  <c r="G15" i="42" s="1"/>
  <c r="O15" i="42"/>
  <c r="Y15" i="42"/>
  <c r="Z15" i="42"/>
  <c r="AA15" i="42"/>
  <c r="AI15" i="42"/>
  <c r="B16" i="42"/>
  <c r="F16" i="42"/>
  <c r="G16" i="42"/>
  <c r="H16" i="42"/>
  <c r="I16" i="42"/>
  <c r="J16" i="42"/>
  <c r="O16" i="42"/>
  <c r="P16" i="42"/>
  <c r="Y16" i="42"/>
  <c r="Z16" i="42"/>
  <c r="AA16" i="42"/>
  <c r="AI16" i="42"/>
  <c r="B17" i="42"/>
  <c r="F17" i="42"/>
  <c r="G17" i="42"/>
  <c r="H17" i="42"/>
  <c r="I17" i="42"/>
  <c r="J17" i="42"/>
  <c r="O17" i="42"/>
  <c r="P17" i="42"/>
  <c r="Y17" i="42"/>
  <c r="Z17" i="42"/>
  <c r="AA17" i="42"/>
  <c r="AI17" i="42"/>
  <c r="B18" i="42"/>
  <c r="F18" i="42"/>
  <c r="G18" i="42"/>
  <c r="H18" i="42"/>
  <c r="I18" i="42"/>
  <c r="J18" i="42"/>
  <c r="O18" i="42"/>
  <c r="P18" i="42"/>
  <c r="Y18" i="42"/>
  <c r="Z18" i="42"/>
  <c r="AA18" i="42"/>
  <c r="AI18" i="42"/>
  <c r="B19" i="42"/>
  <c r="F19" i="42"/>
  <c r="G19" i="42" s="1"/>
  <c r="I19" i="42" s="1"/>
  <c r="O19" i="42"/>
  <c r="Y19" i="42"/>
  <c r="Z19" i="42"/>
  <c r="AA19" i="42"/>
  <c r="AI19" i="42"/>
  <c r="B20" i="42"/>
  <c r="F20" i="42"/>
  <c r="G20" i="42"/>
  <c r="I20" i="42" s="1"/>
  <c r="O20" i="42"/>
  <c r="Y20" i="42"/>
  <c r="Z20" i="42"/>
  <c r="AA20" i="42"/>
  <c r="AI20" i="42"/>
  <c r="B21" i="42"/>
  <c r="F21" i="42"/>
  <c r="G21" i="42" s="1"/>
  <c r="O21" i="42"/>
  <c r="Y21" i="42"/>
  <c r="Z21" i="42"/>
  <c r="AA21" i="42"/>
  <c r="AI21" i="42"/>
  <c r="B22" i="42"/>
  <c r="F22" i="42"/>
  <c r="G22" i="42" s="1"/>
  <c r="I22" i="42" s="1"/>
  <c r="O22" i="42"/>
  <c r="Y22" i="42"/>
  <c r="Z22" i="42"/>
  <c r="AA22" i="42"/>
  <c r="AI22" i="42"/>
  <c r="B23" i="42"/>
  <c r="F23" i="42"/>
  <c r="G23" i="42" s="1"/>
  <c r="O23" i="42"/>
  <c r="Y23" i="42"/>
  <c r="Z23" i="42"/>
  <c r="AA23" i="42"/>
  <c r="AI23" i="42"/>
  <c r="B24" i="42"/>
  <c r="F24" i="42"/>
  <c r="G24" i="42"/>
  <c r="H24" i="42"/>
  <c r="I24" i="42"/>
  <c r="J24" i="42"/>
  <c r="O24" i="42"/>
  <c r="P24" i="42"/>
  <c r="Y24" i="42"/>
  <c r="Z24" i="42"/>
  <c r="AA24" i="42"/>
  <c r="AI24" i="42"/>
  <c r="B25" i="42"/>
  <c r="F25" i="42"/>
  <c r="G25" i="42"/>
  <c r="H25" i="42"/>
  <c r="I25" i="42"/>
  <c r="J25" i="42"/>
  <c r="O25" i="42"/>
  <c r="P25" i="42"/>
  <c r="Y25" i="42"/>
  <c r="Z25" i="42"/>
  <c r="AA25" i="42"/>
  <c r="AI25" i="42"/>
  <c r="B26" i="42"/>
  <c r="F26" i="42"/>
  <c r="G26" i="42"/>
  <c r="H26" i="42"/>
  <c r="I26" i="42"/>
  <c r="J26" i="42"/>
  <c r="O26" i="42"/>
  <c r="P26" i="42"/>
  <c r="Y26" i="42"/>
  <c r="Z26" i="42"/>
  <c r="AA26" i="42"/>
  <c r="AI26" i="42"/>
  <c r="B27" i="42"/>
  <c r="F27" i="42"/>
  <c r="G27" i="42" s="1"/>
  <c r="O27" i="42"/>
  <c r="Y27" i="42"/>
  <c r="Z27" i="42"/>
  <c r="AA27" i="42"/>
  <c r="AI27" i="42"/>
  <c r="B28" i="42"/>
  <c r="F28" i="42"/>
  <c r="G28" i="42" s="1"/>
  <c r="O28" i="42"/>
  <c r="Y28" i="42"/>
  <c r="Z28" i="42"/>
  <c r="AA28" i="42"/>
  <c r="AI28" i="42"/>
  <c r="B29" i="42"/>
  <c r="F29" i="42"/>
  <c r="G29" i="42" s="1"/>
  <c r="O29" i="42"/>
  <c r="Y29" i="42"/>
  <c r="Z29" i="42"/>
  <c r="AA29" i="42"/>
  <c r="AI29" i="42"/>
  <c r="B30" i="42"/>
  <c r="F30" i="42"/>
  <c r="G30" i="42" s="1"/>
  <c r="O30" i="42"/>
  <c r="Y30" i="42"/>
  <c r="Z30" i="42"/>
  <c r="AA30" i="42"/>
  <c r="AI30" i="42"/>
  <c r="B31" i="42"/>
  <c r="F31" i="42"/>
  <c r="G31" i="42"/>
  <c r="H31" i="42"/>
  <c r="I31" i="42"/>
  <c r="J31" i="42"/>
  <c r="O31" i="42"/>
  <c r="P31" i="42"/>
  <c r="Y31" i="42"/>
  <c r="Z31" i="42"/>
  <c r="AA31" i="42"/>
  <c r="AI31" i="42"/>
  <c r="B32" i="42"/>
  <c r="F32" i="42"/>
  <c r="G32" i="42"/>
  <c r="H32" i="42"/>
  <c r="I32" i="42"/>
  <c r="J32" i="42"/>
  <c r="O32" i="42"/>
  <c r="P32" i="42"/>
  <c r="Y32" i="42"/>
  <c r="Z32" i="42"/>
  <c r="AA32" i="42"/>
  <c r="AI32" i="42"/>
  <c r="B33" i="42"/>
  <c r="F33" i="42"/>
  <c r="G33" i="42" s="1"/>
  <c r="O33" i="42"/>
  <c r="Y33" i="42"/>
  <c r="Z33" i="42"/>
  <c r="AA33" i="42"/>
  <c r="AI33" i="42"/>
  <c r="B34" i="42"/>
  <c r="F34" i="42"/>
  <c r="G34" i="42" s="1"/>
  <c r="O34" i="42"/>
  <c r="Y34" i="42"/>
  <c r="Z34" i="42"/>
  <c r="AA34" i="42"/>
  <c r="AI34" i="42"/>
  <c r="B35" i="42"/>
  <c r="F35" i="42"/>
  <c r="G35" i="42" s="1"/>
  <c r="I35" i="42" s="1"/>
  <c r="N15" i="42" a="1"/>
  <c r="N17" i="42" a="1"/>
  <c r="N14" i="42" a="1"/>
  <c r="N18" i="42" a="1"/>
  <c r="N22" i="42" a="1"/>
  <c r="N26" i="42" a="1"/>
  <c r="N30" i="42" a="1"/>
  <c r="N34" i="42" a="1"/>
  <c r="N13" i="42" a="1"/>
  <c r="N21" i="42" a="1"/>
  <c r="N29" i="42" a="1"/>
  <c r="N33" i="42" a="1"/>
  <c r="N25" i="42" a="1"/>
  <c r="N35" i="42" a="1"/>
  <c r="N19" i="42" a="1"/>
  <c r="N27" i="42" a="1"/>
  <c r="N12" i="42" a="1"/>
  <c r="N16" i="42" a="1"/>
  <c r="N20" i="42" a="1"/>
  <c r="N24" i="42" a="1"/>
  <c r="N28" i="42" a="1"/>
  <c r="N32" i="42" a="1"/>
  <c r="N11" i="42" a="1"/>
  <c r="N23" i="42" a="1"/>
  <c r="N31" i="42" a="1"/>
  <c r="I34" i="42" l="1"/>
  <c r="H34" i="42"/>
  <c r="H33" i="42"/>
  <c r="I33" i="42"/>
  <c r="J33" i="42"/>
  <c r="H35" i="42"/>
  <c r="J34" i="42"/>
  <c r="H30" i="42"/>
  <c r="I30" i="42"/>
  <c r="J30" i="42"/>
  <c r="J29" i="42"/>
  <c r="H29" i="42"/>
  <c r="I29" i="42"/>
  <c r="H28" i="42"/>
  <c r="I28" i="42"/>
  <c r="J28" i="42"/>
  <c r="I27" i="42"/>
  <c r="H27" i="42"/>
  <c r="J27" i="42"/>
  <c r="H21" i="42"/>
  <c r="I21" i="42"/>
  <c r="J21" i="42"/>
  <c r="H23" i="42"/>
  <c r="I23" i="42"/>
  <c r="J23" i="42"/>
  <c r="H20" i="42"/>
  <c r="H22" i="42"/>
  <c r="J22" i="42"/>
  <c r="J20" i="42"/>
  <c r="J19" i="42"/>
  <c r="H19" i="42"/>
  <c r="H15" i="42"/>
  <c r="I15" i="42"/>
  <c r="J15" i="42"/>
  <c r="N15" i="42"/>
  <c r="P15" i="42"/>
  <c r="N31" i="42"/>
  <c r="N23" i="42"/>
  <c r="N11" i="42"/>
  <c r="N32" i="42"/>
  <c r="N28" i="42"/>
  <c r="N24" i="42"/>
  <c r="N20" i="42"/>
  <c r="N16" i="42"/>
  <c r="N12" i="42"/>
  <c r="N27" i="42"/>
  <c r="N19" i="42"/>
  <c r="N25" i="42"/>
  <c r="N33" i="42"/>
  <c r="N29" i="42"/>
  <c r="N21" i="42"/>
  <c r="N13" i="42"/>
  <c r="N34" i="42"/>
  <c r="N30" i="42"/>
  <c r="N26" i="42"/>
  <c r="N22" i="42"/>
  <c r="N18" i="42"/>
  <c r="N14" i="42"/>
  <c r="N17" i="42"/>
  <c r="J35" i="42"/>
  <c r="N35" i="42"/>
  <c r="O35" i="42"/>
  <c r="Y35" i="42"/>
  <c r="Z35" i="42"/>
  <c r="AA35" i="42"/>
  <c r="AI35" i="42"/>
  <c r="B36" i="42"/>
  <c r="F36" i="42"/>
  <c r="G36" i="42" s="1"/>
  <c r="H36" i="42" s="1"/>
  <c r="N36" i="42" a="1"/>
  <c r="P19" i="42" l="1"/>
  <c r="J36" i="42"/>
  <c r="I36" i="42"/>
  <c r="N36" i="42"/>
  <c r="O36" i="42"/>
  <c r="Y36" i="42"/>
  <c r="Z36" i="42"/>
  <c r="AA36" i="42"/>
  <c r="AI36" i="42"/>
  <c r="B37" i="42"/>
  <c r="F37" i="42"/>
  <c r="G37" i="42" s="1"/>
  <c r="I37" i="42" s="1"/>
  <c r="N37" i="42" a="1"/>
  <c r="P22" i="42" l="1"/>
  <c r="P23" i="42" s="1"/>
  <c r="P20" i="42"/>
  <c r="P21" i="42" s="1"/>
  <c r="H37" i="42"/>
  <c r="H40" i="42" s="1"/>
  <c r="J37" i="42"/>
  <c r="N37" i="42"/>
  <c r="O37" i="42"/>
  <c r="Y37" i="42"/>
  <c r="Z37" i="42"/>
  <c r="AA37" i="42"/>
  <c r="AI37" i="42"/>
  <c r="B38" i="42"/>
  <c r="F38" i="42"/>
  <c r="G38" i="42"/>
  <c r="H38" i="42"/>
  <c r="I38" i="42"/>
  <c r="J38" i="42"/>
  <c r="O38" i="42"/>
  <c r="P38" i="42"/>
  <c r="Y38" i="42"/>
  <c r="Z38" i="42"/>
  <c r="AA38" i="42"/>
  <c r="AI38" i="42"/>
  <c r="B39" i="42"/>
  <c r="F39" i="42"/>
  <c r="G39" i="42"/>
  <c r="H39" i="42"/>
  <c r="I39" i="42"/>
  <c r="J39" i="42"/>
  <c r="O39" i="42"/>
  <c r="P39" i="42"/>
  <c r="Y39" i="42"/>
  <c r="Z39" i="42"/>
  <c r="AA39" i="42"/>
  <c r="AI39" i="42"/>
  <c r="G40" i="42"/>
  <c r="I40" i="42"/>
  <c r="J40" i="42"/>
  <c r="K40" i="42"/>
  <c r="L40" i="42"/>
  <c r="M40" i="42"/>
  <c r="O40" i="42"/>
  <c r="N38" i="42" a="1"/>
  <c r="N39" i="42" a="1"/>
  <c r="P28" i="42" l="1"/>
  <c r="P27" i="42"/>
  <c r="N39" i="42"/>
  <c r="N38" i="42"/>
  <c r="P29" i="42" l="1"/>
  <c r="P30" i="42" s="1"/>
  <c r="P33" i="42" s="1"/>
  <c r="P34" i="42" l="1"/>
  <c r="P35" i="42" s="1"/>
  <c r="P36" i="42" s="1"/>
  <c r="P37" i="42" l="1"/>
  <c r="O41" i="4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難波梨恵</author>
    <author>katsu</author>
    <author>辻 芳樹</author>
  </authors>
  <commentList>
    <comment ref="C8" authorId="0" shapeId="0" xr:uid="{3307F093-511E-499F-920F-312000C7CC32}">
      <text>
        <r>
          <rPr>
            <b/>
            <sz val="10"/>
            <color indexed="81"/>
            <rFont val="メイリオ"/>
            <family val="3"/>
            <charset val="128"/>
          </rPr>
          <t>Q23に記入してから選択</t>
        </r>
      </text>
    </comment>
    <comment ref="D8" authorId="0" shapeId="0" xr:uid="{B1464CF1-E186-413C-991A-FE20527F9287}">
      <text>
        <r>
          <rPr>
            <b/>
            <sz val="10"/>
            <color indexed="81"/>
            <rFont val="メイリオ"/>
            <family val="3"/>
            <charset val="128"/>
          </rPr>
          <t>・社内作業の方
採算単位：15分単位（15分以下切り捨て）
・客先常駐の方
客先勤怠の通り。</t>
        </r>
      </text>
    </comment>
    <comment ref="E8" authorId="0" shapeId="0" xr:uid="{A3072790-E593-456A-812C-D92010EAD4A0}">
      <text>
        <r>
          <rPr>
            <b/>
            <sz val="10"/>
            <color indexed="81"/>
            <rFont val="メイリオ"/>
            <family val="3"/>
            <charset val="128"/>
          </rPr>
          <t>・社内作業の方
採算単位：15分単位（15分以下切り捨て）
・客先常駐の方
客先勤怠の通り。</t>
        </r>
      </text>
    </comment>
    <comment ref="F8" authorId="0" shapeId="0" xr:uid="{2C6AF1BD-D855-4829-BC56-E6FEC7F32C65}">
      <text>
        <r>
          <rPr>
            <b/>
            <sz val="10"/>
            <color indexed="81"/>
            <rFont val="メイリオ"/>
            <family val="3"/>
            <charset val="128"/>
          </rPr>
          <t>・社内作業の方
採算単位：15分単位（15分以下切り捨て）
・客先常駐の方
客先勤怠の通り。</t>
        </r>
      </text>
    </comment>
    <comment ref="G8" authorId="1" shapeId="0" xr:uid="{D151CA30-2812-4BFB-978E-E18F34D83584}">
      <text>
        <r>
          <rPr>
            <b/>
            <sz val="10"/>
            <color indexed="81"/>
            <rFont val="メイリオ"/>
            <family val="3"/>
            <charset val="128"/>
          </rPr>
          <t xml:space="preserve">（自動計算）
1日の所定労働時間
</t>
        </r>
      </text>
    </comment>
    <comment ref="H8" authorId="1" shapeId="0" xr:uid="{62509B46-BE61-4C1C-B19A-1590D754BD87}">
      <text>
        <r>
          <rPr>
            <b/>
            <sz val="10"/>
            <color indexed="81"/>
            <rFont val="メイリオ"/>
            <family val="3"/>
            <charset val="128"/>
          </rPr>
          <t>（自動計算）
1日の所定労働時間を超えた時間</t>
        </r>
      </text>
    </comment>
    <comment ref="I8" authorId="1" shapeId="0" xr:uid="{AC3CF609-E8FC-4818-9DAE-8B4308F68684}">
      <text>
        <r>
          <rPr>
            <b/>
            <sz val="10"/>
            <color indexed="81"/>
            <rFont val="メイリオ"/>
            <family val="3"/>
            <charset val="128"/>
          </rPr>
          <t>（自動計算）
22時を過ぎた労働時間</t>
        </r>
      </text>
    </comment>
    <comment ref="J8" authorId="1" shapeId="0" xr:uid="{3F1E00A2-6EA5-40B8-A800-53BE4994B2F5}">
      <text>
        <r>
          <rPr>
            <b/>
            <sz val="10"/>
            <color indexed="81"/>
            <rFont val="メイリオ"/>
            <family val="3"/>
            <charset val="128"/>
          </rPr>
          <t>（自動計算）
1日の所定労働時間を下回った時間</t>
        </r>
      </text>
    </comment>
    <comment ref="K8" authorId="1" shapeId="0" xr:uid="{8F7B5B6B-5E69-41A7-8583-46D5A0824354}">
      <text>
        <r>
          <rPr>
            <b/>
            <sz val="10"/>
            <color indexed="81"/>
            <rFont val="メイリオ"/>
            <family val="3"/>
            <charset val="128"/>
          </rPr>
          <t>・電車遅延の場合
証明書があれば控除対象外
・会社都合の場合
基本的に控除対象外</t>
        </r>
      </text>
    </comment>
    <comment ref="M8" authorId="0" shapeId="0" xr:uid="{7708CD38-AD73-49CD-9528-6E5DF73648AC}">
      <text>
        <r>
          <rPr>
            <b/>
            <sz val="10"/>
            <color indexed="81"/>
            <rFont val="メイリオ"/>
            <family val="3"/>
            <charset val="128"/>
          </rPr>
          <t>遅刻・早退・欠勤・有給・客先勤怠と差異が発生している場合
必ず理由を記載すること。</t>
        </r>
      </text>
    </comment>
    <comment ref="O8" authorId="2" shapeId="0" xr:uid="{03710375-B034-439A-98B7-A2A9F0EE9DF7}">
      <text>
        <r>
          <rPr>
            <b/>
            <sz val="10"/>
            <color indexed="81"/>
            <rFont val="メイリオ"/>
            <family val="3"/>
            <charset val="128"/>
          </rPr>
          <t>経理処理の列です。
入力しないでください。</t>
        </r>
      </text>
    </comment>
    <comment ref="P8" authorId="2" shapeId="0" xr:uid="{533E4021-5CBB-4AFD-8E19-FAC0CADD8427}">
      <text>
        <r>
          <rPr>
            <b/>
            <sz val="10"/>
            <color indexed="81"/>
            <rFont val="メイリオ"/>
            <family val="3"/>
            <charset val="128"/>
          </rPr>
          <t>経理処理の列です。
入力しないでください。</t>
        </r>
      </text>
    </comment>
    <comment ref="M40" authorId="0" shapeId="0" xr:uid="{BB1E5514-1640-4439-9A09-537A3B2DFEB7}">
      <text>
        <r>
          <rPr>
            <b/>
            <sz val="10"/>
            <color indexed="81"/>
            <rFont val="メイリオ"/>
            <family val="3"/>
            <charset val="128"/>
          </rPr>
          <t>控除対象外扱いの遅刻早退は
ノーカウント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<sst xmlns="http://schemas.openxmlformats.org/spreadsheetml/2006/main" count="272" uniqueCount="181">
  <si>
    <t>から</t>
    <phoneticPr fontId="4"/>
  </si>
  <si>
    <t>日付</t>
    <rPh sb="0" eb="2">
      <t>ヒヅケ</t>
    </rPh>
    <phoneticPr fontId="4"/>
  </si>
  <si>
    <t>備考</t>
    <rPh sb="0" eb="2">
      <t>ビコウ</t>
    </rPh>
    <phoneticPr fontId="4"/>
  </si>
  <si>
    <t>×</t>
    <phoneticPr fontId="4"/>
  </si>
  <si>
    <t>必須</t>
    <rPh sb="0" eb="2">
      <t>ヒッス</t>
    </rPh>
    <phoneticPr fontId="4"/>
  </si>
  <si>
    <t>任意</t>
    <rPh sb="0" eb="2">
      <t>ニンイ</t>
    </rPh>
    <phoneticPr fontId="4"/>
  </si>
  <si>
    <t>※事務処理欄</t>
    <rPh sb="1" eb="3">
      <t>ジム</t>
    </rPh>
    <rPh sb="3" eb="5">
      <t>ショリ</t>
    </rPh>
    <rPh sb="5" eb="6">
      <t>ラン</t>
    </rPh>
    <phoneticPr fontId="4"/>
  </si>
  <si>
    <t>時間変換</t>
  </si>
  <si>
    <t>曜日</t>
    <rPh sb="0" eb="2">
      <t>ヨウビ</t>
    </rPh>
    <phoneticPr fontId="4"/>
  </si>
  <si>
    <t>勤務場所</t>
    <rPh sb="0" eb="2">
      <t>キンム</t>
    </rPh>
    <rPh sb="2" eb="4">
      <t>バショ</t>
    </rPh>
    <phoneticPr fontId="4"/>
  </si>
  <si>
    <t>始業時刻</t>
    <rPh sb="0" eb="2">
      <t>シギョウ</t>
    </rPh>
    <rPh sb="2" eb="4">
      <t>ジコク</t>
    </rPh>
    <phoneticPr fontId="4"/>
  </si>
  <si>
    <t>終業時刻</t>
    <rPh sb="0" eb="2">
      <t>シュウギョウ</t>
    </rPh>
    <rPh sb="2" eb="4">
      <t>ジコク</t>
    </rPh>
    <phoneticPr fontId="4"/>
  </si>
  <si>
    <t>休憩</t>
    <rPh sb="0" eb="2">
      <t>キュウケイ</t>
    </rPh>
    <phoneticPr fontId="4"/>
  </si>
  <si>
    <t>実働時間</t>
    <rPh sb="0" eb="2">
      <t>ジツドウ</t>
    </rPh>
    <rPh sb="2" eb="4">
      <t>ジカン</t>
    </rPh>
    <phoneticPr fontId="4"/>
  </si>
  <si>
    <t>残業時間</t>
    <rPh sb="0" eb="2">
      <t>ザンギョウ</t>
    </rPh>
    <rPh sb="2" eb="4">
      <t>ジカン</t>
    </rPh>
    <phoneticPr fontId="4"/>
  </si>
  <si>
    <t>控除時間</t>
    <rPh sb="0" eb="2">
      <t>コウジョ</t>
    </rPh>
    <rPh sb="2" eb="4">
      <t>ジカン</t>
    </rPh>
    <phoneticPr fontId="4"/>
  </si>
  <si>
    <t>控除対象時間</t>
    <rPh sb="2" eb="4">
      <t>タイショウ</t>
    </rPh>
    <phoneticPr fontId="4"/>
  </si>
  <si>
    <t>欠勤／有給</t>
    <rPh sb="0" eb="2">
      <t>ケッキン</t>
    </rPh>
    <rPh sb="3" eb="5">
      <t>ユウキュウ</t>
    </rPh>
    <phoneticPr fontId="4"/>
  </si>
  <si>
    <t>休日
祝日</t>
    <rPh sb="0" eb="2">
      <t>キュウジツ</t>
    </rPh>
    <rPh sb="3" eb="5">
      <t>シュクジツ</t>
    </rPh>
    <phoneticPr fontId="4"/>
  </si>
  <si>
    <t>出勤日数</t>
    <rPh sb="0" eb="2">
      <t>シュッキン</t>
    </rPh>
    <rPh sb="2" eb="4">
      <t>ニッスウ</t>
    </rPh>
    <phoneticPr fontId="4"/>
  </si>
  <si>
    <t>就業時刻</t>
    <rPh sb="0" eb="2">
      <t>シュウギョウ</t>
    </rPh>
    <rPh sb="2" eb="4">
      <t>ジコク</t>
    </rPh>
    <phoneticPr fontId="4"/>
  </si>
  <si>
    <t>労働時間</t>
    <rPh sb="0" eb="2">
      <t>ロウドウ</t>
    </rPh>
    <rPh sb="2" eb="4">
      <t>ジカン</t>
    </rPh>
    <phoneticPr fontId="4"/>
  </si>
  <si>
    <t>時間書式</t>
  </si>
  <si>
    <t>数値書式</t>
  </si>
  <si>
    <t>マクロが自動入力</t>
    <rPh sb="4" eb="6">
      <t>ジドウ</t>
    </rPh>
    <rPh sb="6" eb="8">
      <t>ニュウリョク</t>
    </rPh>
    <phoneticPr fontId="4"/>
  </si>
  <si>
    <t>作業者が特別休暇を入力</t>
    <rPh sb="0" eb="3">
      <t>サギョウシャ</t>
    </rPh>
    <rPh sb="4" eb="6">
      <t>トクベツ</t>
    </rPh>
    <rPh sb="6" eb="8">
      <t>キュウカ</t>
    </rPh>
    <rPh sb="9" eb="11">
      <t>ニュウリョク</t>
    </rPh>
    <phoneticPr fontId="4"/>
  </si>
  <si>
    <t>勤務場所設定</t>
    <rPh sb="0" eb="2">
      <t>キンム</t>
    </rPh>
    <rPh sb="2" eb="4">
      <t>バショ</t>
    </rPh>
    <rPh sb="4" eb="6">
      <t>セッテイ</t>
    </rPh>
    <phoneticPr fontId="4"/>
  </si>
  <si>
    <t>合　計</t>
    <rPh sb="0" eb="1">
      <t>ゴウ</t>
    </rPh>
    <rPh sb="2" eb="3">
      <t>ケイ</t>
    </rPh>
    <phoneticPr fontId="4"/>
  </si>
  <si>
    <t>※実働時間合計は、客先勤務表の実働時間合計と一致する事</t>
    <rPh sb="1" eb="3">
      <t>ジツドウ</t>
    </rPh>
    <rPh sb="3" eb="5">
      <t>ジカン</t>
    </rPh>
    <rPh sb="5" eb="7">
      <t>ゴウケイ</t>
    </rPh>
    <rPh sb="9" eb="11">
      <t>キャクサキ</t>
    </rPh>
    <rPh sb="11" eb="13">
      <t>キンム</t>
    </rPh>
    <rPh sb="13" eb="14">
      <t>ヒョウ</t>
    </rPh>
    <rPh sb="15" eb="17">
      <t>ジツドウ</t>
    </rPh>
    <rPh sb="17" eb="19">
      <t>ジカン</t>
    </rPh>
    <rPh sb="19" eb="21">
      <t>ゴウケイ</t>
    </rPh>
    <rPh sb="22" eb="24">
      <t>イッチ</t>
    </rPh>
    <rPh sb="26" eb="27">
      <t>コト</t>
    </rPh>
    <phoneticPr fontId="4"/>
  </si>
  <si>
    <t>出勤時間</t>
    <rPh sb="0" eb="2">
      <t>シュッキン</t>
    </rPh>
    <rPh sb="2" eb="4">
      <t>ジカン</t>
    </rPh>
    <phoneticPr fontId="4"/>
  </si>
  <si>
    <t>休憩終了時間</t>
    <rPh sb="0" eb="2">
      <t>キュウケイ</t>
    </rPh>
    <rPh sb="2" eb="4">
      <t>シュウリョウ</t>
    </rPh>
    <rPh sb="4" eb="6">
      <t>ジカン</t>
    </rPh>
    <phoneticPr fontId="4"/>
  </si>
  <si>
    <t>休憩開始時間</t>
    <rPh sb="0" eb="2">
      <t>キュウケイ</t>
    </rPh>
    <rPh sb="2" eb="4">
      <t>カイシ</t>
    </rPh>
    <rPh sb="4" eb="6">
      <t>ジカン</t>
    </rPh>
    <phoneticPr fontId="4"/>
  </si>
  <si>
    <t>退社時間</t>
    <rPh sb="0" eb="2">
      <t>タイシャ</t>
    </rPh>
    <rPh sb="2" eb="4">
      <t>ジカン</t>
    </rPh>
    <phoneticPr fontId="4"/>
  </si>
  <si>
    <t>1日の所定労働時間</t>
    <rPh sb="1" eb="2">
      <t>ニチ</t>
    </rPh>
    <rPh sb="3" eb="5">
      <t>ショテイ</t>
    </rPh>
    <rPh sb="5" eb="7">
      <t>ロウドウ</t>
    </rPh>
    <rPh sb="7" eb="9">
      <t>ジカン</t>
    </rPh>
    <phoneticPr fontId="4"/>
  </si>
  <si>
    <t>氏 名 ：</t>
    <phoneticPr fontId="4"/>
  </si>
  <si>
    <t>深夜時間</t>
    <rPh sb="0" eb="2">
      <t>シンヤ</t>
    </rPh>
    <rPh sb="2" eb="4">
      <t>ジカン</t>
    </rPh>
    <phoneticPr fontId="4"/>
  </si>
  <si>
    <t>作　業　工　数　表</t>
  </si>
  <si>
    <r>
      <t>災害休暇を入力（</t>
    </r>
    <r>
      <rPr>
        <b/>
        <sz val="11"/>
        <rFont val="BIZ UDPゴシック"/>
        <family val="3"/>
        <charset val="128"/>
      </rPr>
      <t>※有給休暇、休日出勤振替休暇はここに記入しない！</t>
    </r>
    <r>
      <rPr>
        <sz val="11"/>
        <rFont val="BIZ UDPゴシック"/>
        <family val="3"/>
        <charset val="128"/>
      </rPr>
      <t>）</t>
    </r>
    <rPh sb="0" eb="2">
      <t>サイガイ</t>
    </rPh>
    <rPh sb="2" eb="4">
      <t>キュウカ</t>
    </rPh>
    <rPh sb="5" eb="7">
      <t>ニュウリョク</t>
    </rPh>
    <rPh sb="9" eb="11">
      <t>ユウキュウ</t>
    </rPh>
    <rPh sb="11" eb="13">
      <t>キュウカ</t>
    </rPh>
    <rPh sb="14" eb="16">
      <t>キュウジツ</t>
    </rPh>
    <rPh sb="16" eb="18">
      <t>シュッキン</t>
    </rPh>
    <rPh sb="18" eb="20">
      <t>フリカエ</t>
    </rPh>
    <rPh sb="20" eb="22">
      <t>キュウカ</t>
    </rPh>
    <rPh sb="26" eb="28">
      <t>キニュウ</t>
    </rPh>
    <phoneticPr fontId="4"/>
  </si>
  <si>
    <t>Check</t>
    <phoneticPr fontId="4"/>
  </si>
  <si>
    <t>ジョブコード</t>
    <phoneticPr fontId="4"/>
  </si>
  <si>
    <t>時間数</t>
    <rPh sb="0" eb="3">
      <t>ジカンスウ</t>
    </rPh>
    <phoneticPr fontId="4"/>
  </si>
  <si>
    <t>ジョブ名称</t>
    <rPh sb="3" eb="5">
      <t>メイショウ</t>
    </rPh>
    <phoneticPr fontId="4"/>
  </si>
  <si>
    <t>←マクロが自動入力</t>
    <rPh sb="5" eb="7">
      <t>ジドウ</t>
    </rPh>
    <rPh sb="7" eb="9">
      <t>ニュウリョク</t>
    </rPh>
    <phoneticPr fontId="4"/>
  </si>
  <si>
    <t>までを入力</t>
    <rPh sb="3" eb="5">
      <t>ニュウリョク</t>
    </rPh>
    <phoneticPr fontId="4"/>
  </si>
  <si>
    <t>↑の範囲外の日付を入力すると</t>
    <rPh sb="2" eb="5">
      <t>ハンイガイ</t>
    </rPh>
    <rPh sb="6" eb="8">
      <t>ヒヅケ</t>
    </rPh>
    <rPh sb="9" eb="11">
      <t>ニュウリョク</t>
    </rPh>
    <phoneticPr fontId="4"/>
  </si>
  <si>
    <t>セルが赤色に変わります</t>
  </si>
  <si>
    <t>日付は</t>
    <rPh sb="0" eb="2">
      <t>ヒヅケ</t>
    </rPh>
    <phoneticPr fontId="4"/>
  </si>
  <si>
    <t>※時間詳細シートの時間数チェック欄</t>
    <rPh sb="1" eb="5">
      <t>ジカンショウサイ</t>
    </rPh>
    <rPh sb="9" eb="12">
      <t>ジカンスウ</t>
    </rPh>
    <rPh sb="16" eb="17">
      <t>ラン</t>
    </rPh>
    <phoneticPr fontId="4"/>
  </si>
  <si>
    <t>確認</t>
    <rPh sb="0" eb="2">
      <t>カクニン</t>
    </rPh>
    <phoneticPr fontId="4"/>
  </si>
  <si>
    <t>各ジョブ名称の合計時間算出</t>
    <rPh sb="0" eb="1">
      <t>カク</t>
    </rPh>
    <rPh sb="4" eb="6">
      <t>メイショウ</t>
    </rPh>
    <rPh sb="7" eb="13">
      <t>ゴウケイジカンサンシュツ</t>
    </rPh>
    <phoneticPr fontId="4"/>
  </si>
  <si>
    <t>No.</t>
    <phoneticPr fontId="4"/>
  </si>
  <si>
    <t>ジョブ名称</t>
  </si>
  <si>
    <t>合計時間</t>
    <rPh sb="0" eb="4">
      <t>ゴウケイジカン</t>
    </rPh>
    <phoneticPr fontId="4"/>
  </si>
  <si>
    <t>←このボタンを押すと合計時間算出欄にジョブコードを自動で入力してくれます</t>
    <rPh sb="7" eb="8">
      <t>オ</t>
    </rPh>
    <rPh sb="10" eb="16">
      <t>ゴウケイジカンサンシュツ</t>
    </rPh>
    <rPh sb="16" eb="17">
      <t>ラン</t>
    </rPh>
    <rPh sb="25" eb="27">
      <t>ジドウ</t>
    </rPh>
    <rPh sb="28" eb="30">
      <t>ニュウリョク</t>
    </rPh>
    <phoneticPr fontId="4"/>
  </si>
  <si>
    <t>←実働時間</t>
    <rPh sb="1" eb="3">
      <t>ジツドウ</t>
    </rPh>
    <rPh sb="3" eb="5">
      <t>ジカン</t>
    </rPh>
    <phoneticPr fontId="4"/>
  </si>
  <si>
    <t>準委任・派遣</t>
    <rPh sb="0" eb="3">
      <t>ジュンイニン</t>
    </rPh>
    <rPh sb="4" eb="6">
      <t>ハケン</t>
    </rPh>
    <phoneticPr fontId="4"/>
  </si>
  <si>
    <t>APPR20220443</t>
    <phoneticPr fontId="4"/>
  </si>
  <si>
    <t>事業再構築補助金</t>
    <phoneticPr fontId="4"/>
  </si>
  <si>
    <t>APPR20220469</t>
    <phoneticPr fontId="4"/>
  </si>
  <si>
    <t>APPR20220471</t>
    <phoneticPr fontId="4"/>
  </si>
  <si>
    <t>APPR20220458</t>
    <phoneticPr fontId="4"/>
  </si>
  <si>
    <t>無期限</t>
    <rPh sb="0" eb="3">
      <t>ムキゲン</t>
    </rPh>
    <phoneticPr fontId="4"/>
  </si>
  <si>
    <t>株式会社ナイルワークス　：　生育診断／営農支援システムの開発</t>
    <phoneticPr fontId="4"/>
  </si>
  <si>
    <t>自社AIソリューション案件　：　混雑検知</t>
    <rPh sb="11" eb="13">
      <t>アンケン</t>
    </rPh>
    <rPh sb="16" eb="20">
      <t>コンザツケンチ</t>
    </rPh>
    <phoneticPr fontId="4"/>
  </si>
  <si>
    <t>自社AIソリューション案件　：　マーケットプレイス（喫煙検知）</t>
    <rPh sb="0" eb="2">
      <t>ジシャ</t>
    </rPh>
    <rPh sb="11" eb="13">
      <t>アンケン</t>
    </rPh>
    <phoneticPr fontId="4"/>
  </si>
  <si>
    <t>自社AI＆IoT事業案件　：　名古屋市バス</t>
    <rPh sb="18" eb="19">
      <t>シ</t>
    </rPh>
    <phoneticPr fontId="4"/>
  </si>
  <si>
    <t>自社AI＆IoT事業案件　：　ロングライフ</t>
    <rPh sb="0" eb="2">
      <t>ジシャ</t>
    </rPh>
    <rPh sb="8" eb="10">
      <t>ジギョウ</t>
    </rPh>
    <rPh sb="10" eb="12">
      <t>アンケン</t>
    </rPh>
    <phoneticPr fontId="4"/>
  </si>
  <si>
    <t>自社AI＆IoT事業案件　：　相鉄アクセラレータPoC</t>
    <rPh sb="0" eb="2">
      <t>ジシャ</t>
    </rPh>
    <rPh sb="8" eb="10">
      <t>ジギョウ</t>
    </rPh>
    <rPh sb="10" eb="12">
      <t>アンケン</t>
    </rPh>
    <phoneticPr fontId="4"/>
  </si>
  <si>
    <t>シスメックス株式会社　：　2022年度M204M解析部開発1</t>
    <phoneticPr fontId="4"/>
  </si>
  <si>
    <t>シスメックス株式会社　：　次期尿沈渣画像解析検討①</t>
    <phoneticPr fontId="4"/>
  </si>
  <si>
    <t>日本コンピュータビジョン株式会社　：　ドア解錠ソリューション PoC</t>
    <phoneticPr fontId="4"/>
  </si>
  <si>
    <t>株式会社リモハブ　：　システム開発支援</t>
    <phoneticPr fontId="4"/>
  </si>
  <si>
    <t>APPR20220503</t>
    <phoneticPr fontId="4"/>
  </si>
  <si>
    <t>APPR20220336</t>
    <phoneticPr fontId="4"/>
  </si>
  <si>
    <t>株式会社WorldLink &amp; Company　：　システム開発</t>
    <phoneticPr fontId="4"/>
  </si>
  <si>
    <t>株式会社WorldLink &amp; Company　：　Azure Processingサーバ環境構築費用(A・B・Cに該当）</t>
    <phoneticPr fontId="4"/>
  </si>
  <si>
    <t>APPR20220333-01</t>
    <phoneticPr fontId="4"/>
  </si>
  <si>
    <t>シスメックス株式会社　：　U65M解析部開発2022①</t>
    <phoneticPr fontId="4"/>
  </si>
  <si>
    <t>2022/3/14～2022/6/13</t>
    <phoneticPr fontId="4"/>
  </si>
  <si>
    <t>一般社団法人セレッソ大阪スポーツクラブ　：　会員管理システム「すくすくーる」プレリース</t>
    <phoneticPr fontId="4"/>
  </si>
  <si>
    <t>2022/4中旬～5月予定</t>
    <rPh sb="6" eb="8">
      <t>チュウジュン</t>
    </rPh>
    <rPh sb="10" eb="11">
      <t>ガツ</t>
    </rPh>
    <rPh sb="11" eb="13">
      <t>ヨテイ</t>
    </rPh>
    <phoneticPr fontId="4"/>
  </si>
  <si>
    <t>2022/1/1～2022/6/30</t>
    <phoneticPr fontId="4"/>
  </si>
  <si>
    <t>2022/4/5～2022/6/17</t>
    <phoneticPr fontId="4"/>
  </si>
  <si>
    <t>2022/4/5～2022/7/6</t>
    <phoneticPr fontId="4"/>
  </si>
  <si>
    <t>2022/4/1～2022/4/30</t>
    <phoneticPr fontId="4"/>
  </si>
  <si>
    <t>2022/4/1～2022/6/30</t>
    <phoneticPr fontId="4"/>
  </si>
  <si>
    <t>2022/5/1～2022/5/31</t>
    <phoneticPr fontId="4"/>
  </si>
  <si>
    <t>2021/7/1～2022/10/31</t>
    <phoneticPr fontId="4"/>
  </si>
  <si>
    <t>APPR20220316</t>
    <phoneticPr fontId="4"/>
  </si>
  <si>
    <t>2022/3/1～2022/3/31</t>
    <phoneticPr fontId="4"/>
  </si>
  <si>
    <r>
      <t>日本コンピュータビジョン株式会社　：　戸建住宅向け　顔認証アプリ（</t>
    </r>
    <r>
      <rPr>
        <sz val="11"/>
        <rFont val="Calibri"/>
        <family val="3"/>
        <charset val="161"/>
      </rPr>
      <t>β</t>
    </r>
    <r>
      <rPr>
        <sz val="11"/>
        <rFont val="BIZ UDPゴシック"/>
        <family val="3"/>
        <charset val="128"/>
      </rPr>
      <t>版）のブラッシュアップ</t>
    </r>
    <phoneticPr fontId="4"/>
  </si>
  <si>
    <t>契約作業期間</t>
    <rPh sb="0" eb="2">
      <t>ケイヤク</t>
    </rPh>
    <rPh sb="2" eb="6">
      <t>サギョウキカン</t>
    </rPh>
    <phoneticPr fontId="4"/>
  </si>
  <si>
    <t>国立大学法人大阪大学　：　動画による疾患診断の課題調査業務</t>
    <phoneticPr fontId="4"/>
  </si>
  <si>
    <t>APPR20220149-02</t>
    <phoneticPr fontId="4"/>
  </si>
  <si>
    <t>2022//1/6～2022/3/31</t>
    <phoneticPr fontId="4"/>
  </si>
  <si>
    <t>APPR20220470</t>
    <phoneticPr fontId="4"/>
  </si>
  <si>
    <t>APPR20220477</t>
    <phoneticPr fontId="4"/>
  </si>
  <si>
    <t>2022/4/5～2022/6/15</t>
    <phoneticPr fontId="4"/>
  </si>
  <si>
    <t>2022/4/5～2022/7/4</t>
    <phoneticPr fontId="4"/>
  </si>
  <si>
    <t>2022/4/16～2022/6/15</t>
    <phoneticPr fontId="4"/>
  </si>
  <si>
    <t>シスメックス株式会社　：　2022年度ヘマトロジー機能強化（解析）1</t>
    <phoneticPr fontId="4"/>
  </si>
  <si>
    <t>シスメックス株式会社　：　2022年度M216M解析部開発</t>
    <phoneticPr fontId="4"/>
  </si>
  <si>
    <t>株式会社WorldLink &amp; Company　：　Azure サーバ環境構築費用(F・Gに該当)</t>
    <phoneticPr fontId="4"/>
  </si>
  <si>
    <t>APPR20220338</t>
    <phoneticPr fontId="4"/>
  </si>
  <si>
    <t>株式会社WorldLink &amp; Company　：　Azure サーバ環境構築費用(F・G実施後)</t>
    <phoneticPr fontId="4"/>
  </si>
  <si>
    <t>APPR20220339</t>
    <phoneticPr fontId="4"/>
  </si>
  <si>
    <t>2022/4/11～2022/5/20</t>
    <phoneticPr fontId="4"/>
  </si>
  <si>
    <t>APPR20220510-01</t>
    <phoneticPr fontId="4"/>
  </si>
  <si>
    <t>ヤンマー情報システムサービス株式会社：　ヤンマーアグリ事業における販売・物流システム構築 要件定義支援①</t>
    <phoneticPr fontId="4"/>
  </si>
  <si>
    <t>2022/6/1～2022/6/30</t>
    <phoneticPr fontId="4"/>
  </si>
  <si>
    <t>APPR20220514</t>
    <phoneticPr fontId="4"/>
  </si>
  <si>
    <t>ヤンマーアグリ株式会社：　ヤンマーアグリ事業における販売・物流システム構築 要件定義支援①</t>
    <phoneticPr fontId="4"/>
  </si>
  <si>
    <t>2022/5/9～2022/6/30</t>
    <phoneticPr fontId="4"/>
  </si>
  <si>
    <t>シスメックス株式会社:　2022年度ヘマトロジー機能強化（解析）1</t>
    <phoneticPr fontId="4"/>
  </si>
  <si>
    <t>シスメックス株式会社:　2022年度M216M解析部開発1</t>
    <phoneticPr fontId="4"/>
  </si>
  <si>
    <t>APPR20220510</t>
    <phoneticPr fontId="4"/>
  </si>
  <si>
    <r>
      <t>日本コンピュータービジョン株式会社：　戸建住宅向け 顔認証アプリ（</t>
    </r>
    <r>
      <rPr>
        <sz val="11"/>
        <rFont val="Calibri"/>
        <family val="3"/>
        <charset val="161"/>
      </rPr>
      <t>β</t>
    </r>
    <r>
      <rPr>
        <sz val="11"/>
        <rFont val="BIZ UDPゴシック"/>
        <family val="3"/>
        <charset val="128"/>
      </rPr>
      <t xml:space="preserve">版）のブラッシュアップ </t>
    </r>
    <phoneticPr fontId="4"/>
  </si>
  <si>
    <t>自社AIソリューション案件　： Metarhythm</t>
    <phoneticPr fontId="4"/>
  </si>
  <si>
    <t>日本コンピュータービジョン株式会社：　SBKK向けwindows logonアプリ保守対応</t>
    <phoneticPr fontId="4"/>
  </si>
  <si>
    <t>APPR20220401</t>
    <phoneticPr fontId="4"/>
  </si>
  <si>
    <t>2022/4/1～2022/9/30</t>
    <phoneticPr fontId="4"/>
  </si>
  <si>
    <t>営業戦略上の作業(アプリズム持ちだし作業)</t>
    <phoneticPr fontId="4"/>
  </si>
  <si>
    <t>戦略室作業(調査作業)</t>
    <phoneticPr fontId="4"/>
  </si>
  <si>
    <t>その他、社内ワーク　（社内ワーカー、部長業務、社内月次面談、戦力室業務など）</t>
    <rPh sb="2" eb="3">
      <t>ホカ</t>
    </rPh>
    <rPh sb="4" eb="6">
      <t>シャナイ</t>
    </rPh>
    <rPh sb="11" eb="13">
      <t>シャナイ</t>
    </rPh>
    <rPh sb="18" eb="22">
      <t>ブチョウギョウム</t>
    </rPh>
    <rPh sb="23" eb="25">
      <t>シャナイ</t>
    </rPh>
    <rPh sb="25" eb="27">
      <t>ゲツジ</t>
    </rPh>
    <rPh sb="27" eb="29">
      <t>メンダン</t>
    </rPh>
    <rPh sb="30" eb="33">
      <t>センリョクシツ</t>
    </rPh>
    <rPh sb="33" eb="35">
      <t>ギョウム</t>
    </rPh>
    <phoneticPr fontId="4"/>
  </si>
  <si>
    <t>APPR20220614</t>
    <phoneticPr fontId="4"/>
  </si>
  <si>
    <t>APPR20220703</t>
    <phoneticPr fontId="4"/>
  </si>
  <si>
    <t>2022/7/1～2022/7/31</t>
    <phoneticPr fontId="4"/>
  </si>
  <si>
    <t>APPR20220521</t>
    <phoneticPr fontId="4"/>
  </si>
  <si>
    <t>大阪大学データビリティ　フロンティア機構</t>
    <phoneticPr fontId="4"/>
  </si>
  <si>
    <t>2022/5/18～2022/7/31</t>
    <phoneticPr fontId="4"/>
  </si>
  <si>
    <t>APPR20220617</t>
    <phoneticPr fontId="4"/>
  </si>
  <si>
    <t>シスメックス株式会社　：　U65M解析部開発2022②</t>
    <phoneticPr fontId="4"/>
  </si>
  <si>
    <t>2022/6/14～2022/9/13</t>
    <phoneticPr fontId="4"/>
  </si>
  <si>
    <t>APPR20220525</t>
    <phoneticPr fontId="4"/>
  </si>
  <si>
    <t>株式会社リモハブ　：　医療機器開発におけるコンサルティング</t>
    <phoneticPr fontId="4"/>
  </si>
  <si>
    <t>2022/5/1～2022/7/31</t>
    <phoneticPr fontId="4"/>
  </si>
  <si>
    <t>APPR20220611-5</t>
    <phoneticPr fontId="4"/>
  </si>
  <si>
    <t>日本電気株式会社：　流し順最適化アルゴリズム開発 追加作業</t>
    <phoneticPr fontId="4"/>
  </si>
  <si>
    <t>2022/6/14～2022/9/14</t>
    <phoneticPr fontId="4"/>
  </si>
  <si>
    <t>APPR20220727</t>
    <phoneticPr fontId="4"/>
  </si>
  <si>
    <t>2022/7/1～2022/9/30</t>
    <phoneticPr fontId="4"/>
  </si>
  <si>
    <t xml:space="preserve"> APPR20220601</t>
    <phoneticPr fontId="4"/>
  </si>
  <si>
    <t>日本コンピュータービジョン株式会社：　ドア解錠ソリューション PoC</t>
    <phoneticPr fontId="4"/>
  </si>
  <si>
    <t>APPR20220620</t>
    <phoneticPr fontId="4"/>
  </si>
  <si>
    <t>シスメックス株式会社　：　2022年度ヘマトロジー機能強化（解析）2</t>
    <phoneticPr fontId="4"/>
  </si>
  <si>
    <t>2022/6/16～2022/9/15</t>
    <phoneticPr fontId="4"/>
  </si>
  <si>
    <t>APPR20220619</t>
    <phoneticPr fontId="4"/>
  </si>
  <si>
    <t>シスメックス株式会社　：　2022年度M204M解析部開発4</t>
    <phoneticPr fontId="4"/>
  </si>
  <si>
    <t>APPR20220621</t>
    <phoneticPr fontId="4"/>
  </si>
  <si>
    <t>シスメックス株式会社　：　2022年度M216M解析部開発2</t>
    <phoneticPr fontId="4"/>
  </si>
  <si>
    <t>APPR20220623</t>
    <phoneticPr fontId="4"/>
  </si>
  <si>
    <t>パナソニック株式会社　：　温度センサ対応サンプルスケッチ購入</t>
    <phoneticPr fontId="4"/>
  </si>
  <si>
    <t>パナソニック株式会社　：　ラピッドプロトタイピングコンサルティング</t>
    <phoneticPr fontId="4"/>
  </si>
  <si>
    <t>APPR20220624</t>
    <phoneticPr fontId="4"/>
  </si>
  <si>
    <t>2022/6/23～2022/6/29</t>
    <phoneticPr fontId="4"/>
  </si>
  <si>
    <t>APPR20220746</t>
    <phoneticPr fontId="4"/>
  </si>
  <si>
    <t>日本コンピュータービジョン株式会社：　ドア解錠ソリューション 保守</t>
    <phoneticPr fontId="4"/>
  </si>
  <si>
    <t>自社AIソリューション案件　：　マーケットプレイス（犬の排泄検知）</t>
    <rPh sb="0" eb="2">
      <t>ジシャ</t>
    </rPh>
    <rPh sb="11" eb="13">
      <t>アンケン</t>
    </rPh>
    <phoneticPr fontId="4"/>
  </si>
  <si>
    <t>シスメックス株式会社　：　次期尿沈渣画像解析検討②</t>
    <phoneticPr fontId="4"/>
  </si>
  <si>
    <t>2022/7/5～2022/9/5</t>
    <phoneticPr fontId="4"/>
  </si>
  <si>
    <t>APPR20220750</t>
    <phoneticPr fontId="4"/>
  </si>
  <si>
    <t>APPR20220622</t>
    <phoneticPr fontId="4"/>
  </si>
  <si>
    <t>Peach Aviation 株式会社　：　20220621_Inflight_WorldPayｴﾗｰ応答種別追加対応見積依頼分</t>
    <phoneticPr fontId="4"/>
  </si>
  <si>
    <t>2022/7/19～2022/7/20</t>
    <phoneticPr fontId="4"/>
  </si>
  <si>
    <t>APPR20220759</t>
    <phoneticPr fontId="4"/>
  </si>
  <si>
    <t>Peach Aviation 株式会社　：　20220628_Inflight_WorldPay決済方法変更対応見積依頼分</t>
    <phoneticPr fontId="4"/>
  </si>
  <si>
    <t>2022/7/21～2022/7/22</t>
    <phoneticPr fontId="4"/>
  </si>
  <si>
    <t>2022/8/1～2022/10/31</t>
    <phoneticPr fontId="4"/>
  </si>
  <si>
    <t>APPR20220805</t>
    <phoneticPr fontId="4"/>
  </si>
  <si>
    <t>日本コンピュータービジョン株式会社：　戸建住宅向け 顔認証アプリの保守運用</t>
    <phoneticPr fontId="4"/>
  </si>
  <si>
    <t>2022/8/1～2022/8/10</t>
    <phoneticPr fontId="4"/>
  </si>
  <si>
    <t/>
  </si>
  <si>
    <t>パナソニックアドバンストテクノロジー株式会社</t>
  </si>
  <si>
    <t>株式会社アプリズム</t>
    <phoneticPr fontId="4"/>
  </si>
  <si>
    <t>福田太一</t>
  </si>
  <si>
    <t>Ver.20220427</t>
  </si>
  <si>
    <t>株式会社アプリズム</t>
  </si>
  <si>
    <t>欠勤</t>
  </si>
  <si>
    <t>有給</t>
  </si>
  <si>
    <t>テレワーク</t>
    <phoneticPr fontId="4"/>
  </si>
  <si>
    <t>健康診断のため</t>
    <rPh sb="0" eb="4">
      <t>ケンコウシンダン</t>
    </rPh>
    <phoneticPr fontId="4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</si>
</sst>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9">
    <numFmt numFmtId="176" formatCode="&quot;¥&quot;#,##0_);[Red]\(&quot;¥&quot;#,##0\)"/>
    <numFmt numFmtId="180" formatCode="d"/>
    <numFmt numFmtId="181" formatCode="aaa"/>
    <numFmt numFmtId="182" formatCode="0.00_ "/>
    <numFmt numFmtId="183" formatCode="0.00_);[Red]\(0.00\)"/>
    <numFmt numFmtId="184" formatCode="h:mm;@"/>
    <numFmt numFmtId="185" formatCode="0_ "/>
    <numFmt numFmtId="186" formatCode="&quot;遅&quot;&quot;刻&quot;&quot;早&quot;&quot;退&quot;&quot;数&quot;\:General"/>
    <numFmt numFmtId="187" formatCode="0_);[Red]\(0\)"/>
  </numFmts>
  <fonts count="24" x14ac:knownFonts="1">
    <font>
      <sz val="11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11"/>
      <name val="ＭＳ Ｐゴシック"/>
      <family val="3"/>
      <charset val="128"/>
    </font>
    <font>
      <sz val="11"/>
      <name val="ＭＳ 明朝"/>
      <family val="1"/>
      <charset val="128"/>
    </font>
    <font>
      <sz val="11"/>
      <color theme="1"/>
      <name val="ＭＳ Ｐゴシック"/>
      <family val="2"/>
      <scheme val="minor"/>
    </font>
    <font>
      <b/>
      <sz val="10"/>
      <color indexed="81"/>
      <name val="メイリオ"/>
      <family val="3"/>
      <charset val="128"/>
    </font>
    <font>
      <sz val="8"/>
      <name val="BIZ UDPゴシック"/>
      <family val="3"/>
      <charset val="128"/>
    </font>
    <font>
      <sz val="11"/>
      <name val="BIZ UDPゴシック"/>
      <family val="3"/>
      <charset val="128"/>
    </font>
    <font>
      <b/>
      <sz val="24"/>
      <name val="BIZ UDPゴシック"/>
      <family val="3"/>
      <charset val="128"/>
    </font>
    <font>
      <b/>
      <sz val="11"/>
      <name val="BIZ UDPゴシック"/>
      <family val="3"/>
      <charset val="128"/>
    </font>
    <font>
      <b/>
      <sz val="9"/>
      <name val="BIZ UDPゴシック"/>
      <family val="3"/>
      <charset val="128"/>
    </font>
    <font>
      <sz val="10"/>
      <name val="BIZ UDPゴシック"/>
      <family val="3"/>
      <charset val="128"/>
    </font>
    <font>
      <b/>
      <sz val="11"/>
      <color rgb="FFC00000"/>
      <name val="BIZ UDPゴシック"/>
      <family val="3"/>
      <charset val="128"/>
    </font>
    <font>
      <b/>
      <sz val="10"/>
      <name val="BIZ UDPゴシック"/>
      <family val="3"/>
      <charset val="128"/>
    </font>
    <font>
      <b/>
      <sz val="20"/>
      <name val="BIZ UDPゴシック"/>
      <family val="3"/>
      <charset val="128"/>
    </font>
    <font>
      <sz val="20"/>
      <name val="BIZ UDPゴシック"/>
      <family val="3"/>
      <charset val="128"/>
    </font>
    <font>
      <b/>
      <sz val="12"/>
      <color rgb="FF000000"/>
      <name val="Arial Unicode MS"/>
      <family val="2"/>
    </font>
    <font>
      <sz val="11"/>
      <color rgb="FFFF0000"/>
      <name val="BIZ UDPゴシック"/>
      <family val="3"/>
      <charset val="128"/>
    </font>
    <font>
      <b/>
      <sz val="11"/>
      <color rgb="FFFF0000"/>
      <name val="BIZ UDPゴシック"/>
      <family val="3"/>
      <charset val="128"/>
    </font>
    <font>
      <sz val="11"/>
      <name val="Calibri"/>
      <family val="3"/>
      <charset val="161"/>
    </font>
  </fonts>
  <fills count="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</fills>
  <borders count="14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9">
    <xf numFmtId="0" fontId="0" fillId="0" borderId="0"/>
    <xf numFmtId="0" fontId="5" fillId="0" borderId="0">
      <alignment vertical="center"/>
    </xf>
    <xf numFmtId="38" fontId="6" fillId="0" borderId="0" applyFont="0" applyFill="0" applyBorder="0" applyAlignment="0" applyProtection="0"/>
    <xf numFmtId="176" fontId="6" fillId="0" borderId="0" applyFont="0" applyFill="0" applyBorder="0" applyAlignment="0" applyProtection="0"/>
    <xf numFmtId="176" fontId="6" fillId="0" borderId="0" applyFont="0" applyFill="0" applyBorder="0" applyAlignment="0" applyProtection="0"/>
    <xf numFmtId="176" fontId="6" fillId="0" borderId="0" applyFont="0" applyFill="0" applyBorder="0" applyAlignment="0" applyProtection="0"/>
    <xf numFmtId="176" fontId="6" fillId="0" borderId="0" applyFont="0" applyFill="0" applyBorder="0" applyAlignment="0" applyProtection="0"/>
    <xf numFmtId="176" fontId="6" fillId="0" borderId="0" applyFont="0" applyFill="0" applyBorder="0" applyAlignment="0" applyProtection="0"/>
    <xf numFmtId="176" fontId="6" fillId="0" borderId="0" applyFont="0" applyFill="0" applyBorder="0" applyAlignment="0" applyProtection="0"/>
    <xf numFmtId="0" fontId="6" fillId="0" borderId="0">
      <alignment vertical="center"/>
    </xf>
    <xf numFmtId="0" fontId="7" fillId="0" borderId="0">
      <alignment vertical="center"/>
    </xf>
    <xf numFmtId="38" fontId="7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8" fillId="0" borderId="0"/>
    <xf numFmtId="38" fontId="8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6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</cellStyleXfs>
  <cellXfs count="101">
    <xf numFmtId="0" fontId="0" fillId="0" borderId="0" xfId="0"/>
    <xf numFmtId="0" fontId="10" fillId="0" borderId="0" xfId="0" applyFont="1" applyAlignment="1">
      <alignment horizontal="center" vertical="center"/>
    </xf>
    <xf numFmtId="0" fontId="10" fillId="0" borderId="0" xfId="0" applyFont="1" applyAlignment="1">
      <alignment vertical="center"/>
    </xf>
    <xf numFmtId="0" fontId="11" fillId="0" borderId="0" xfId="0" applyFont="1" applyAlignment="1">
      <alignment vertical="center"/>
    </xf>
    <xf numFmtId="180" fontId="11" fillId="0" borderId="8" xfId="0" applyNumberFormat="1" applyFont="1" applyBorder="1" applyAlignment="1" applyProtection="1">
      <alignment horizontal="center" vertical="center"/>
      <protection locked="0"/>
    </xf>
    <xf numFmtId="181" fontId="11" fillId="0" borderId="8" xfId="0" applyNumberFormat="1" applyFont="1" applyBorder="1" applyAlignment="1">
      <alignment horizontal="center" vertical="center"/>
    </xf>
    <xf numFmtId="0" fontId="15" fillId="0" borderId="8" xfId="0" applyFont="1" applyBorder="1" applyAlignment="1" applyProtection="1">
      <alignment horizontal="center" vertical="center" shrinkToFit="1"/>
      <protection locked="0"/>
    </xf>
    <xf numFmtId="20" fontId="11" fillId="0" borderId="8" xfId="0" applyNumberFormat="1" applyFont="1" applyBorder="1" applyAlignment="1" applyProtection="1">
      <alignment horizontal="center" vertical="center"/>
      <protection locked="0"/>
    </xf>
    <xf numFmtId="182" fontId="11" fillId="0" borderId="8" xfId="0" applyNumberFormat="1" applyFont="1" applyBorder="1" applyAlignment="1" applyProtection="1">
      <alignment horizontal="center" vertical="center"/>
      <protection locked="0"/>
    </xf>
    <xf numFmtId="183" fontId="11" fillId="0" borderId="8" xfId="0" applyNumberFormat="1" applyFont="1" applyBorder="1" applyAlignment="1" applyProtection="1">
      <alignment vertical="center"/>
      <protection locked="0"/>
    </xf>
    <xf numFmtId="184" fontId="11" fillId="0" borderId="8" xfId="0" applyNumberFormat="1" applyFont="1" applyBorder="1" applyAlignment="1" applyProtection="1">
      <alignment horizontal="center" vertical="center"/>
      <protection locked="0"/>
    </xf>
    <xf numFmtId="0" fontId="15" fillId="0" borderId="8" xfId="0" applyFont="1" applyBorder="1" applyAlignment="1" applyProtection="1">
      <alignment vertical="center" wrapText="1" shrinkToFit="1"/>
      <protection locked="0"/>
    </xf>
    <xf numFmtId="185" fontId="11" fillId="2" borderId="8" xfId="0" applyNumberFormat="1" applyFont="1" applyFill="1" applyBorder="1" applyAlignment="1" applyProtection="1">
      <alignment vertical="center"/>
      <protection locked="0"/>
    </xf>
    <xf numFmtId="0" fontId="11" fillId="2" borderId="8" xfId="0" applyFont="1" applyFill="1" applyBorder="1" applyAlignment="1" applyProtection="1">
      <alignment vertical="center"/>
      <protection locked="0"/>
    </xf>
    <xf numFmtId="0" fontId="11" fillId="0" borderId="6" xfId="0" applyFont="1" applyBorder="1" applyAlignment="1" applyProtection="1">
      <alignment horizontal="left" vertical="center"/>
      <protection locked="0"/>
    </xf>
    <xf numFmtId="14" fontId="11" fillId="0" borderId="6" xfId="0" applyNumberFormat="1" applyFont="1" applyBorder="1" applyAlignment="1" applyProtection="1">
      <alignment horizontal="left" vertical="center"/>
      <protection locked="0"/>
    </xf>
    <xf numFmtId="0" fontId="16" fillId="0" borderId="7" xfId="0" applyFont="1" applyBorder="1" applyAlignment="1">
      <alignment vertical="center"/>
    </xf>
    <xf numFmtId="0" fontId="16" fillId="0" borderId="4" xfId="0" applyFont="1" applyBorder="1" applyAlignment="1">
      <alignment horizontal="center" vertical="center"/>
    </xf>
    <xf numFmtId="182" fontId="11" fillId="0" borderId="6" xfId="0" applyNumberFormat="1" applyFont="1" applyBorder="1" applyAlignment="1" applyProtection="1">
      <alignment horizontal="left" vertical="center" shrinkToFit="1"/>
      <protection locked="0"/>
    </xf>
    <xf numFmtId="184" fontId="11" fillId="0" borderId="6" xfId="0" applyNumberFormat="1" applyFont="1" applyBorder="1" applyAlignment="1" applyProtection="1">
      <alignment horizontal="left" vertical="center"/>
      <protection locked="0"/>
    </xf>
    <xf numFmtId="20" fontId="11" fillId="0" borderId="6" xfId="0" applyNumberFormat="1" applyFont="1" applyBorder="1" applyAlignment="1" applyProtection="1">
      <alignment horizontal="left" vertical="center"/>
      <protection locked="0"/>
    </xf>
    <xf numFmtId="183" fontId="11" fillId="0" borderId="6" xfId="0" applyNumberFormat="1" applyFont="1" applyBorder="1" applyAlignment="1" applyProtection="1">
      <alignment horizontal="left" vertical="center"/>
      <protection locked="0"/>
    </xf>
    <xf numFmtId="20" fontId="11" fillId="0" borderId="0" xfId="0" applyNumberFormat="1" applyFont="1" applyAlignment="1">
      <alignment vertical="center"/>
    </xf>
    <xf numFmtId="0" fontId="11" fillId="0" borderId="0" xfId="0" applyFont="1" applyAlignment="1">
      <alignment horizontal="center" vertical="center"/>
    </xf>
    <xf numFmtId="14" fontId="11" fillId="3" borderId="8" xfId="0" applyNumberFormat="1" applyFont="1" applyFill="1" applyBorder="1" applyAlignment="1">
      <alignment horizontal="center" vertical="center"/>
    </xf>
    <xf numFmtId="185" fontId="11" fillId="3" borderId="8" xfId="0" applyNumberFormat="1" applyFont="1" applyFill="1" applyBorder="1" applyAlignment="1">
      <alignment horizontal="center" vertical="center"/>
    </xf>
    <xf numFmtId="0" fontId="11" fillId="3" borderId="8" xfId="0" applyFont="1" applyFill="1" applyBorder="1" applyAlignment="1">
      <alignment horizontal="center" vertical="center"/>
    </xf>
    <xf numFmtId="0" fontId="11" fillId="0" borderId="0" xfId="0" applyFont="1"/>
    <xf numFmtId="14" fontId="11" fillId="0" borderId="8" xfId="0" applyNumberFormat="1" applyFont="1" applyBorder="1" applyAlignment="1" applyProtection="1">
      <alignment horizontal="center" vertical="center"/>
      <protection locked="0"/>
    </xf>
    <xf numFmtId="0" fontId="11" fillId="0" borderId="8" xfId="0" applyFont="1" applyBorder="1"/>
    <xf numFmtId="14" fontId="11" fillId="0" borderId="0" xfId="0" applyNumberFormat="1" applyFont="1"/>
    <xf numFmtId="185" fontId="11" fillId="0" borderId="0" xfId="0" applyNumberFormat="1" applyFont="1"/>
    <xf numFmtId="0" fontId="11" fillId="0" borderId="0" xfId="0" applyFont="1" applyAlignment="1">
      <alignment horizontal="center"/>
    </xf>
    <xf numFmtId="0" fontId="16" fillId="0" borderId="10" xfId="0" applyFont="1" applyBorder="1" applyAlignment="1">
      <alignment vertical="center"/>
    </xf>
    <xf numFmtId="0" fontId="20" fillId="0" borderId="0" xfId="0" applyFont="1" applyAlignment="1">
      <alignment vertical="center"/>
    </xf>
    <xf numFmtId="0" fontId="15" fillId="0" borderId="8" xfId="0" applyFont="1" applyBorder="1" applyAlignment="1" applyProtection="1">
      <alignment horizontal="center" vertical="center" wrapText="1" shrinkToFit="1"/>
      <protection locked="0"/>
    </xf>
    <xf numFmtId="183" fontId="11" fillId="0" borderId="8" xfId="0" applyNumberFormat="1" applyFont="1" applyBorder="1" applyAlignment="1">
      <alignment horizontal="center"/>
    </xf>
    <xf numFmtId="183" fontId="11" fillId="0" borderId="0" xfId="0" applyNumberFormat="1" applyFont="1" applyAlignment="1">
      <alignment horizontal="center"/>
    </xf>
    <xf numFmtId="0" fontId="11" fillId="0" borderId="8" xfId="0" applyFont="1" applyBorder="1" applyAlignment="1">
      <alignment horizontal="center"/>
    </xf>
    <xf numFmtId="0" fontId="11" fillId="0" borderId="5" xfId="0" applyFont="1" applyBorder="1" applyAlignment="1">
      <alignment horizontal="center"/>
    </xf>
    <xf numFmtId="0" fontId="11" fillId="0" borderId="12" xfId="0" applyFont="1" applyBorder="1" applyAlignment="1">
      <alignment horizontal="center"/>
    </xf>
    <xf numFmtId="185" fontId="11" fillId="0" borderId="8" xfId="0" applyNumberFormat="1" applyFont="1" applyBorder="1" applyAlignment="1">
      <alignment horizontal="center"/>
    </xf>
    <xf numFmtId="0" fontId="11" fillId="0" borderId="9" xfId="0" applyFont="1" applyBorder="1"/>
    <xf numFmtId="2" fontId="11" fillId="0" borderId="8" xfId="0" applyNumberFormat="1" applyFont="1" applyBorder="1" applyAlignment="1">
      <alignment horizontal="center"/>
    </xf>
    <xf numFmtId="187" fontId="11" fillId="0" borderId="8" xfId="0" applyNumberFormat="1" applyFont="1" applyBorder="1"/>
    <xf numFmtId="0" fontId="22" fillId="0" borderId="0" xfId="0" applyFont="1"/>
    <xf numFmtId="14" fontId="11" fillId="5" borderId="8" xfId="0" applyNumberFormat="1" applyFont="1" applyFill="1" applyBorder="1" applyAlignment="1">
      <alignment horizontal="center"/>
    </xf>
    <xf numFmtId="0" fontId="21" fillId="0" borderId="0" xfId="0" applyFont="1"/>
    <xf numFmtId="0" fontId="16" fillId="0" borderId="13" xfId="0" applyFont="1" applyBorder="1" applyAlignment="1">
      <alignment vertical="center"/>
    </xf>
    <xf numFmtId="185" fontId="11" fillId="0" borderId="12" xfId="0" applyNumberFormat="1" applyFont="1" applyBorder="1" applyAlignment="1">
      <alignment horizontal="left"/>
    </xf>
    <xf numFmtId="185" fontId="11" fillId="0" borderId="8" xfId="0" applyNumberFormat="1" applyFont="1" applyBorder="1" applyAlignment="1">
      <alignment horizontal="left"/>
    </xf>
    <xf numFmtId="56" fontId="11" fillId="0" borderId="0" xfId="0" applyNumberFormat="1" applyFont="1"/>
    <xf numFmtId="185" fontId="11" fillId="0" borderId="12" xfId="0" quotePrefix="1" applyNumberFormat="1" applyFont="1" applyBorder="1" applyAlignment="1">
      <alignment horizontal="left"/>
    </xf>
    <xf numFmtId="185" fontId="11" fillId="0" borderId="8" xfId="0" quotePrefix="1" applyNumberFormat="1" applyFont="1" applyBorder="1" applyAlignment="1">
      <alignment horizontal="left"/>
    </xf>
    <xf numFmtId="0" fontId="11" fillId="0" borderId="0" xfId="0" applyFont="1" applyAlignment="1">
      <alignment horizontal="left" vertical="center"/>
    </xf>
    <xf numFmtId="0" fontId="11" fillId="0" borderId="12" xfId="0" applyFont="1" applyBorder="1" applyAlignment="1">
      <alignment horizontal="left"/>
    </xf>
    <xf numFmtId="0" fontId="11" fillId="0" borderId="13" xfId="0" applyFont="1" applyBorder="1" applyAlignment="1">
      <alignment horizontal="left"/>
    </xf>
    <xf numFmtId="0" fontId="11" fillId="0" borderId="1" xfId="0" applyFont="1" applyBorder="1" applyAlignment="1">
      <alignment horizontal="center" vertical="center"/>
    </xf>
    <xf numFmtId="0" fontId="11" fillId="0" borderId="1" xfId="0" applyFont="1" applyBorder="1" applyAlignment="1">
      <alignment vertical="center"/>
    </xf>
    <xf numFmtId="186" fontId="17" fillId="0" borderId="0" xfId="0" applyNumberFormat="1" applyFont="1" applyAlignment="1">
      <alignment horizontal="left" vertical="center" wrapText="1" shrinkToFit="1"/>
    </xf>
    <xf numFmtId="186" fontId="17" fillId="0" borderId="11" xfId="0" applyNumberFormat="1" applyFont="1" applyBorder="1" applyAlignment="1">
      <alignment horizontal="left" vertical="center" wrapText="1" shrinkToFit="1"/>
    </xf>
    <xf numFmtId="182" fontId="17" fillId="0" borderId="11" xfId="0" applyNumberFormat="1" applyFont="1" applyBorder="1" applyAlignment="1">
      <alignment horizontal="center" vertical="center" shrinkToFit="1"/>
    </xf>
    <xf numFmtId="183" fontId="13" fillId="0" borderId="11" xfId="0" applyNumberFormat="1" applyFont="1" applyBorder="1" applyAlignment="1">
      <alignment vertical="center" shrinkToFit="1"/>
    </xf>
    <xf numFmtId="182" fontId="13" fillId="0" borderId="11" xfId="0" applyNumberFormat="1" applyFont="1" applyBorder="1" applyAlignment="1">
      <alignment vertical="center" shrinkToFit="1"/>
    </xf>
    <xf numFmtId="183" fontId="11" fillId="0" borderId="8" xfId="0" applyNumberFormat="1" applyFont="1" applyBorder="1" applyAlignment="1">
      <alignment vertical="center"/>
    </xf>
    <xf numFmtId="20" fontId="11" fillId="0" borderId="8" xfId="0" applyNumberFormat="1" applyFont="1" applyBorder="1" applyAlignment="1">
      <alignment vertical="center"/>
    </xf>
    <xf numFmtId="183" fontId="11" fillId="0" borderId="8" xfId="0" applyNumberFormat="1" applyFont="1" applyBorder="1" applyAlignment="1">
      <alignment horizontal="center" vertical="center"/>
    </xf>
    <xf numFmtId="20" fontId="11" fillId="0" borderId="8" xfId="0" applyNumberFormat="1" applyFont="1" applyBorder="1" applyAlignment="1">
      <alignment horizontal="center" vertical="center"/>
    </xf>
    <xf numFmtId="182" fontId="11" fillId="0" borderId="8" xfId="0" applyNumberFormat="1" applyFont="1" applyBorder="1" applyAlignment="1">
      <alignment vertical="center"/>
    </xf>
    <xf numFmtId="0" fontId="11" fillId="0" borderId="6" xfId="0" applyFont="1" applyBorder="1" applyAlignment="1" applyProtection="1">
      <alignment horizontal="left" vertical="center" shrinkToFit="1"/>
      <protection locked="0"/>
    </xf>
    <xf numFmtId="0" fontId="11" fillId="0" borderId="8" xfId="0" applyFont="1" applyBorder="1" applyAlignment="1">
      <alignment horizontal="center" vertical="center" wrapText="1"/>
    </xf>
    <xf numFmtId="0" fontId="11" fillId="3" borderId="8" xfId="0" applyFont="1" applyFill="1" applyBorder="1" applyAlignment="1">
      <alignment horizontal="center" vertical="center" wrapText="1"/>
    </xf>
    <xf numFmtId="0" fontId="13" fillId="3" borderId="8" xfId="0" applyFont="1" applyFill="1" applyBorder="1" applyAlignment="1">
      <alignment horizontal="center" vertical="center"/>
    </xf>
    <xf numFmtId="0" fontId="13" fillId="3" borderId="8" xfId="0" applyFont="1" applyFill="1" applyBorder="1" applyAlignment="1">
      <alignment horizontal="center" vertical="center" wrapText="1"/>
    </xf>
    <xf numFmtId="0" fontId="13" fillId="3" borderId="8" xfId="0" applyFont="1" applyFill="1" applyBorder="1" applyAlignment="1">
      <alignment horizontal="center" vertical="center" shrinkToFit="1"/>
    </xf>
    <xf numFmtId="0" fontId="14" fillId="3" borderId="8" xfId="0" applyFont="1" applyFill="1" applyBorder="1" applyAlignment="1">
      <alignment horizontal="center" vertical="center" shrinkToFit="1"/>
    </xf>
    <xf numFmtId="0" fontId="13" fillId="0" borderId="12" xfId="0" applyFont="1" applyBorder="1" applyAlignment="1">
      <alignment horizontal="center" vertical="center"/>
    </xf>
    <xf numFmtId="0" fontId="19" fillId="0" borderId="0" xfId="0" applyFont="1" applyAlignment="1" applyProtection="1">
      <alignment horizontal="right" vertical="center"/>
      <protection locked="0"/>
    </xf>
    <xf numFmtId="0" fontId="18" fillId="0" borderId="0" xfId="0" applyFont="1" applyAlignment="1">
      <alignment horizontal="center" vertical="center"/>
    </xf>
    <xf numFmtId="0" fontId="12" fillId="0" borderId="0" xfId="0" applyFont="1" applyAlignment="1">
      <alignment horizontal="left" vertical="center" indent="2"/>
    </xf>
    <xf numFmtId="0" fontId="13" fillId="0" borderId="8" xfId="0" applyFont="1" applyBorder="1" applyAlignment="1">
      <alignment horizontal="center" vertical="center"/>
    </xf>
    <xf numFmtId="0" fontId="13" fillId="0" borderId="9" xfId="0" applyFont="1" applyBorder="1" applyAlignment="1" applyProtection="1">
      <alignment vertical="center"/>
      <protection locked="0"/>
    </xf>
    <xf numFmtId="0" fontId="13" fillId="0" borderId="13" xfId="0" applyFont="1" applyBorder="1" applyAlignment="1" applyProtection="1">
      <alignment vertical="center"/>
      <protection locked="0"/>
    </xf>
    <xf numFmtId="0" fontId="14" fillId="3" borderId="12" xfId="0" applyFont="1" applyFill="1" applyBorder="1" applyAlignment="1">
      <alignment horizontal="center" vertical="center"/>
    </xf>
    <xf numFmtId="0" fontId="14" fillId="3" borderId="13" xfId="0" applyFont="1" applyFill="1" applyBorder="1" applyAlignment="1">
      <alignment horizontal="center" vertical="center"/>
    </xf>
    <xf numFmtId="0" fontId="11" fillId="0" borderId="8" xfId="0" applyFont="1" applyBorder="1" applyAlignment="1">
      <alignment horizontal="center" vertical="center" wrapText="1"/>
    </xf>
    <xf numFmtId="0" fontId="11" fillId="0" borderId="12" xfId="0" applyFont="1" applyBorder="1" applyAlignment="1">
      <alignment horizontal="center" vertical="center" wrapText="1"/>
    </xf>
    <xf numFmtId="0" fontId="11" fillId="0" borderId="13" xfId="0" applyFont="1" applyBorder="1" applyAlignment="1">
      <alignment horizontal="center" vertical="center" wrapText="1"/>
    </xf>
    <xf numFmtId="0" fontId="13" fillId="2" borderId="2" xfId="0" applyFont="1" applyFill="1" applyBorder="1" applyAlignment="1">
      <alignment horizontal="center" vertical="center"/>
    </xf>
    <xf numFmtId="0" fontId="13" fillId="2" borderId="3" xfId="0" applyFont="1" applyFill="1" applyBorder="1" applyAlignment="1">
      <alignment horizontal="center" vertical="center"/>
    </xf>
    <xf numFmtId="0" fontId="11" fillId="4" borderId="5" xfId="0" applyFont="1" applyFill="1" applyBorder="1" applyAlignment="1">
      <alignment horizontal="center" vertical="center"/>
    </xf>
    <xf numFmtId="0" fontId="11" fillId="4" borderId="8" xfId="0" applyFont="1" applyFill="1" applyBorder="1" applyAlignment="1">
      <alignment horizontal="center" vertical="center"/>
    </xf>
    <xf numFmtId="0" fontId="11" fillId="0" borderId="0" xfId="0" applyFont="1" applyAlignment="1">
      <alignment horizontal="right" vertical="center"/>
    </xf>
    <xf numFmtId="0" fontId="11" fillId="0" borderId="0" xfId="0" applyFont="1" applyAlignment="1">
      <alignment horizontal="left" vertical="center"/>
    </xf>
    <xf numFmtId="0" fontId="11" fillId="0" borderId="12" xfId="0" applyFont="1" applyBorder="1" applyAlignment="1">
      <alignment horizontal="left"/>
    </xf>
    <xf numFmtId="0" fontId="11" fillId="0" borderId="13" xfId="0" applyFont="1" applyBorder="1" applyAlignment="1">
      <alignment horizontal="left"/>
    </xf>
    <xf numFmtId="0" fontId="13" fillId="0" borderId="12" xfId="0" applyFont="1" applyBorder="1" applyAlignment="1">
      <alignment horizontal="center"/>
    </xf>
    <xf numFmtId="0" fontId="11" fillId="0" borderId="9" xfId="0" applyFont="1" applyBorder="1" applyAlignment="1">
      <alignment horizontal="center"/>
    </xf>
    <xf numFmtId="0" fontId="11" fillId="0" borderId="13" xfId="0" applyFont="1" applyBorder="1" applyAlignment="1">
      <alignment horizontal="center"/>
    </xf>
    <xf numFmtId="0" fontId="11" fillId="5" borderId="12" xfId="0" applyFont="1" applyFill="1" applyBorder="1" applyAlignment="1">
      <alignment horizontal="center"/>
    </xf>
    <xf numFmtId="0" fontId="11" fillId="5" borderId="13" xfId="0" applyFont="1" applyFill="1" applyBorder="1" applyAlignment="1">
      <alignment horizontal="center"/>
    </xf>
  </cellXfs>
  <cellStyles count="19">
    <cellStyle name="桁区切り 2" xfId="2" xr:uid="{00000000-0005-0000-0000-000000000000}"/>
    <cellStyle name="桁区切り 3" xfId="11" xr:uid="{56BAEFD5-9C6A-4762-8FF1-E3C0719FB75E}"/>
    <cellStyle name="桁区切り 4" xfId="14" xr:uid="{0BFA707C-7CD7-4782-9AE3-74EE97B50BF2}"/>
    <cellStyle name="通貨 2" xfId="3" xr:uid="{00000000-0005-0000-0000-000001000000}"/>
    <cellStyle name="通貨 2 2" xfId="4" xr:uid="{00000000-0005-0000-0000-000002000000}"/>
    <cellStyle name="通貨 2 2 2" xfId="8" xr:uid="{00000000-0005-0000-0000-000003000000}"/>
    <cellStyle name="通貨 2 2 3" xfId="6" xr:uid="{00000000-0005-0000-0000-000004000000}"/>
    <cellStyle name="通貨 2 3" xfId="7" xr:uid="{00000000-0005-0000-0000-000005000000}"/>
    <cellStyle name="通貨 2 4" xfId="5" xr:uid="{00000000-0005-0000-0000-000006000000}"/>
    <cellStyle name="標準" xfId="0" builtinId="0"/>
    <cellStyle name="標準 2" xfId="1" xr:uid="{00000000-0005-0000-0000-000008000000}"/>
    <cellStyle name="標準 3" xfId="9" xr:uid="{8796AEE2-9B6F-4E69-9F18-A6FF3C4FA876}"/>
    <cellStyle name="標準 3 2" xfId="10" xr:uid="{528E1F34-8CB0-4E38-9D36-44F130C3E21B}"/>
    <cellStyle name="標準 4" xfId="12" xr:uid="{AD357DE6-2BF8-4107-AE2C-04FDC1639126}"/>
    <cellStyle name="標準 5" xfId="13" xr:uid="{2C50AF66-1AA0-4A29-BA7E-B65AEFEC51A8}"/>
    <cellStyle name="標準 6" xfId="15" xr:uid="{F8E42699-9A61-4318-B97A-2751F0BE1073}"/>
    <cellStyle name="標準 7" xfId="16" xr:uid="{7C397574-DB5A-4E2E-A903-9542E52EBB33}"/>
    <cellStyle name="標準 8" xfId="17" xr:uid="{5A45BBB7-C989-43DE-9606-A4D7A41DC14F}"/>
    <cellStyle name="標準 9" xfId="18" xr:uid="{38EF1F4A-04C1-4FC3-AE2F-53C380D0D096}"/>
  </cellStyles>
  <dxfs count="67">
    <dxf>
      <fill>
        <patternFill>
          <bgColor rgb="FF4BACC6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theme="0" tint="-0.24994659260841701"/>
        </patternFill>
      </fill>
    </dxf>
    <dxf>
      <fill>
        <patternFill>
          <bgColor rgb="FF4BACC6"/>
        </patternFill>
      </fill>
    </dxf>
    <dxf>
      <fill>
        <patternFill>
          <bgColor rgb="FF4BACC6"/>
        </patternFill>
      </fill>
    </dxf>
    <dxf>
      <fill>
        <patternFill>
          <bgColor rgb="FF4BACC6"/>
        </patternFill>
      </fill>
    </dxf>
    <dxf>
      <fill>
        <patternFill>
          <bgColor rgb="FF4BACC6"/>
        </patternFill>
      </fill>
    </dxf>
    <dxf>
      <fill>
        <patternFill>
          <bgColor rgb="FF4BACC6"/>
        </patternFill>
      </fill>
    </dxf>
    <dxf>
      <fill>
        <patternFill>
          <bgColor rgb="FF4BACC6"/>
        </patternFill>
      </fill>
    </dxf>
    <dxf>
      <fill>
        <patternFill>
          <bgColor rgb="FF4BACC6"/>
        </patternFill>
      </fill>
    </dxf>
    <dxf>
      <fill>
        <patternFill>
          <bgColor rgb="FF4BACC6"/>
        </patternFill>
      </fill>
    </dxf>
    <dxf>
      <fill>
        <patternFill>
          <bgColor rgb="FF4BACC6"/>
        </patternFill>
      </fill>
    </dxf>
    <dxf>
      <fill>
        <patternFill>
          <bgColor rgb="FF4BACC6"/>
        </patternFill>
      </fill>
    </dxf>
    <dxf>
      <fill>
        <patternFill>
          <bgColor rgb="FF4BACC6"/>
        </patternFill>
      </fill>
    </dxf>
    <dxf>
      <fill>
        <patternFill>
          <bgColor rgb="FF4BACC6"/>
        </patternFill>
      </fill>
    </dxf>
    <dxf>
      <fill>
        <patternFill>
          <bgColor rgb="FF4BACC6"/>
        </patternFill>
      </fill>
    </dxf>
    <dxf>
      <fill>
        <patternFill>
          <bgColor rgb="FF4BACC6"/>
        </patternFill>
      </fill>
    </dxf>
    <dxf>
      <fill>
        <patternFill>
          <bgColor rgb="FF4BACC6"/>
        </patternFill>
      </fill>
    </dxf>
    <dxf>
      <fill>
        <patternFill>
          <bgColor rgb="FF4BACC6"/>
        </patternFill>
      </fill>
    </dxf>
    <dxf>
      <fill>
        <patternFill>
          <bgColor rgb="FF4BACC6"/>
        </patternFill>
      </fill>
    </dxf>
    <dxf>
      <fill>
        <patternFill>
          <bgColor rgb="FF4BACC6"/>
        </patternFill>
      </fill>
    </dxf>
    <dxf>
      <fill>
        <patternFill>
          <bgColor rgb="FF4BACC6"/>
        </patternFill>
      </fill>
    </dxf>
    <dxf>
      <fill>
        <patternFill>
          <bgColor rgb="FF4BACC6"/>
        </patternFill>
      </fill>
    </dxf>
    <dxf>
      <fill>
        <patternFill>
          <bgColor rgb="FF4BACC6"/>
        </patternFill>
      </fill>
    </dxf>
    <dxf>
      <fill>
        <patternFill>
          <bgColor rgb="FF4BACC6"/>
        </patternFill>
      </fill>
    </dxf>
    <dxf>
      <fill>
        <patternFill>
          <bgColor rgb="FF4BACC6"/>
        </patternFill>
      </fill>
    </dxf>
    <dxf>
      <fill>
        <patternFill>
          <bgColor rgb="FF4BACC6"/>
        </patternFill>
      </fill>
    </dxf>
    <dxf>
      <fill>
        <patternFill>
          <bgColor rgb="FF4BACC6"/>
        </patternFill>
      </fill>
    </dxf>
    <dxf>
      <fill>
        <patternFill>
          <bgColor rgb="FF4BACC6"/>
        </patternFill>
      </fill>
    </dxf>
    <dxf>
      <fill>
        <patternFill>
          <bgColor rgb="FF4BACC6"/>
        </patternFill>
      </fill>
    </dxf>
    <dxf>
      <fill>
        <patternFill>
          <bgColor rgb="FF4BACC6"/>
        </patternFill>
      </fill>
    </dxf>
    <dxf>
      <fill>
        <patternFill>
          <bgColor rgb="FF4BACC6"/>
        </patternFill>
      </fill>
    </dxf>
    <dxf>
      <fill>
        <patternFill>
          <bgColor rgb="FF4BACC6"/>
        </patternFill>
      </fill>
    </dxf>
    <dxf>
      <fill>
        <patternFill>
          <bgColor rgb="FF4BACC6"/>
        </patternFill>
      </fill>
    </dxf>
    <dxf>
      <fill>
        <patternFill>
          <bgColor rgb="FF4BACC6"/>
        </patternFill>
      </fill>
    </dxf>
    <dxf>
      <fill>
        <patternFill>
          <bgColor rgb="FF4BACC6"/>
        </patternFill>
      </fill>
    </dxf>
    <dxf>
      <fill>
        <patternFill>
          <bgColor rgb="FF4BACC6"/>
        </patternFill>
      </fill>
    </dxf>
    <dxf>
      <fill>
        <patternFill>
          <bgColor rgb="FF4BACC6"/>
        </patternFill>
      </fill>
    </dxf>
    <dxf>
      <fill>
        <patternFill>
          <bgColor rgb="FF4BACC6"/>
        </patternFill>
      </fill>
    </dxf>
    <dxf>
      <fill>
        <patternFill>
          <bgColor rgb="FF4BACC6"/>
        </patternFill>
      </fill>
    </dxf>
    <dxf>
      <fill>
        <patternFill>
          <bgColor rgb="FF4BACC6"/>
        </patternFill>
      </fill>
    </dxf>
    <dxf>
      <fill>
        <patternFill>
          <bgColor rgb="FF4BACC6"/>
        </patternFill>
      </fill>
    </dxf>
    <dxf>
      <fill>
        <patternFill>
          <bgColor rgb="FF4BACC6"/>
        </patternFill>
      </fill>
    </dxf>
    <dxf>
      <fill>
        <patternFill>
          <bgColor rgb="FF4BACC6"/>
        </patternFill>
      </fill>
    </dxf>
    <dxf>
      <fill>
        <patternFill>
          <bgColor rgb="FF4BACC6"/>
        </patternFill>
      </fill>
    </dxf>
    <dxf>
      <fill>
        <patternFill>
          <bgColor rgb="FF4BACC6"/>
        </patternFill>
      </fill>
    </dxf>
    <dxf>
      <fill>
        <patternFill>
          <bgColor rgb="FF4BACC6"/>
        </patternFill>
      </fill>
    </dxf>
    <dxf>
      <fill>
        <patternFill>
          <bgColor rgb="FF4BACC6"/>
        </patternFill>
      </fill>
    </dxf>
    <dxf>
      <fill>
        <patternFill>
          <bgColor rgb="FF4BACC6"/>
        </patternFill>
      </fill>
    </dxf>
    <dxf>
      <fill>
        <patternFill>
          <bgColor rgb="FF4BACC6"/>
        </patternFill>
      </fill>
    </dxf>
    <dxf>
      <fill>
        <patternFill>
          <bgColor rgb="FF4BACC6"/>
        </patternFill>
      </fill>
    </dxf>
    <dxf>
      <fill>
        <patternFill>
          <bgColor rgb="FF4BACC6"/>
        </patternFill>
      </fill>
    </dxf>
    <dxf>
      <fill>
        <patternFill>
          <bgColor rgb="FF4BACC6"/>
        </patternFill>
      </fill>
    </dxf>
    <dxf>
      <fill>
        <patternFill>
          <bgColor rgb="FF4BACC6"/>
        </patternFill>
      </fill>
    </dxf>
    <dxf>
      <fill>
        <patternFill>
          <bgColor rgb="FF4BACC6"/>
        </patternFill>
      </fill>
    </dxf>
    <dxf>
      <fill>
        <patternFill>
          <bgColor rgb="FF4BACC6"/>
        </patternFill>
      </fill>
    </dxf>
    <dxf>
      <fill>
        <patternFill>
          <bgColor rgb="FF4BACC6"/>
        </patternFill>
      </fill>
    </dxf>
    <dxf>
      <fill>
        <patternFill>
          <bgColor rgb="FF4BACC6"/>
        </patternFill>
      </fill>
    </dxf>
    <dxf>
      <fill>
        <patternFill>
          <bgColor rgb="FF4BACC6"/>
        </patternFill>
      </fill>
    </dxf>
    <dxf>
      <fill>
        <patternFill>
          <bgColor rgb="FF4BACC6"/>
        </patternFill>
      </fill>
    </dxf>
    <dxf>
      <fill>
        <patternFill>
          <bgColor rgb="FF4BACC6"/>
        </patternFill>
      </fill>
    </dxf>
    <dxf>
      <fill>
        <patternFill>
          <bgColor rgb="FF4BACC6"/>
        </patternFill>
      </fill>
    </dxf>
    <dxf>
      <fill>
        <patternFill>
          <bgColor rgb="FF4BACC6"/>
        </patternFill>
      </fill>
    </dxf>
    <dxf>
      <fill>
        <patternFill>
          <bgColor rgb="FF4BACC6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66"/>
      <tableStyleElement type="headerRow" dxfId="65"/>
    </tableStyle>
  </tableStyles>
  <colors>
    <mruColors>
      <color rgb="FFCD0551"/>
      <color rgb="FFD20000"/>
      <color rgb="FFFFCC00"/>
      <color rgb="FF4BACC6"/>
      <color rgb="FF33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1</xdr:row>
      <xdr:rowOff>119792</xdr:rowOff>
    </xdr:from>
    <xdr:to>
      <xdr:col>18</xdr:col>
      <xdr:colOff>151056</xdr:colOff>
      <xdr:row>4</xdr:row>
      <xdr:rowOff>0</xdr:rowOff>
    </xdr:to>
    <xdr:sp macro="[0]!CheckField_click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4EA9A7D4-F6C8-4840-86C4-61115AA00B17}"/>
            </a:ext>
          </a:extLst>
        </xdr:cNvPr>
        <xdr:cNvSpPr/>
      </xdr:nvSpPr>
      <xdr:spPr>
        <a:xfrm>
          <a:off x="10492740" y="287432"/>
          <a:ext cx="768276" cy="38312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 b="1"/>
            <a:t>提出前の</a:t>
          </a:r>
          <a:endParaRPr kumimoji="1" lang="en-US" altLang="ja-JP" sz="1100" b="1"/>
        </a:p>
        <a:p>
          <a:pPr algn="ctr"/>
          <a:r>
            <a:rPr kumimoji="1" lang="ja-JP" altLang="en-US" sz="1100" b="1"/>
            <a:t>入力チェック</a:t>
          </a:r>
        </a:p>
      </xdr:txBody>
    </xdr:sp>
    <xdr:clientData fLocksWithSheet="0"/>
  </xdr:twoCellAnchor>
  <xdr:twoCellAnchor>
    <xdr:from>
      <xdr:col>18</xdr:col>
      <xdr:colOff>486225</xdr:colOff>
      <xdr:row>1</xdr:row>
      <xdr:rowOff>119455</xdr:rowOff>
    </xdr:from>
    <xdr:to>
      <xdr:col>19</xdr:col>
      <xdr:colOff>439272</xdr:colOff>
      <xdr:row>3</xdr:row>
      <xdr:rowOff>234987</xdr:rowOff>
    </xdr:to>
    <xdr:sp macro="[0]!InitFormat_Click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B96339DD-8F92-4AC0-BF0A-E499517AE19D}"/>
            </a:ext>
          </a:extLst>
        </xdr:cNvPr>
        <xdr:cNvSpPr/>
      </xdr:nvSpPr>
      <xdr:spPr>
        <a:xfrm>
          <a:off x="11596185" y="287095"/>
          <a:ext cx="570267" cy="382232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 b="1"/>
            <a:t>表の色付け</a:t>
          </a:r>
          <a:endParaRPr kumimoji="1" lang="en-US" altLang="ja-JP" sz="1100" b="1"/>
        </a:p>
        <a:p>
          <a:pPr algn="ctr"/>
          <a:r>
            <a:rPr kumimoji="1" lang="ja-JP" altLang="en-US" sz="1100" b="1"/>
            <a:t>（条件付き書式）</a:t>
          </a:r>
          <a:endParaRPr kumimoji="1" lang="en-US" altLang="ja-JP" sz="1100" b="1"/>
        </a:p>
        <a:p>
          <a:pPr algn="ctr"/>
          <a:r>
            <a:rPr kumimoji="1" lang="ja-JP" altLang="en-US" sz="1100" b="1"/>
            <a:t>の復元</a:t>
          </a:r>
        </a:p>
      </xdr:txBody>
    </xdr:sp>
    <xdr:clientData fLocksWithSheet="0"/>
  </xdr:twoCellAnchor>
  <xdr:twoCellAnchor>
    <xdr:from>
      <xdr:col>17</xdr:col>
      <xdr:colOff>1038560</xdr:colOff>
      <xdr:row>4</xdr:row>
      <xdr:rowOff>105000</xdr:rowOff>
    </xdr:from>
    <xdr:to>
      <xdr:col>18</xdr:col>
      <xdr:colOff>1417095</xdr:colOff>
      <xdr:row>7</xdr:row>
      <xdr:rowOff>375846</xdr:rowOff>
    </xdr:to>
    <xdr:sp macro="" textlink="">
      <xdr:nvSpPr>
        <xdr:cNvPr id="4" name="吹き出し: 角を丸めた四角形 3">
          <a:extLst>
            <a:ext uri="{FF2B5EF4-FFF2-40B4-BE49-F238E27FC236}">
              <a16:creationId xmlns:a16="http://schemas.microsoft.com/office/drawing/2014/main" id="{48287B35-A369-4A18-B202-A6ACFDFFB954}"/>
            </a:ext>
          </a:extLst>
        </xdr:cNvPr>
        <xdr:cNvSpPr/>
      </xdr:nvSpPr>
      <xdr:spPr>
        <a:xfrm>
          <a:off x="11112200" y="775560"/>
          <a:ext cx="614755" cy="568026"/>
        </a:xfrm>
        <a:prstGeom prst="wedgeRoundRectCallout">
          <a:avLst>
            <a:gd name="adj1" fmla="val -79519"/>
            <a:gd name="adj2" fmla="val -69207"/>
            <a:gd name="adj3" fmla="val 16667"/>
          </a:avLst>
        </a:prstGeom>
        <a:gradFill>
          <a:gsLst>
            <a:gs pos="0">
              <a:schemeClr val="accent6">
                <a:tint val="50000"/>
                <a:satMod val="300000"/>
              </a:schemeClr>
            </a:gs>
            <a:gs pos="35000">
              <a:schemeClr val="accent6">
                <a:tint val="37000"/>
                <a:satMod val="300000"/>
              </a:schemeClr>
            </a:gs>
            <a:gs pos="100000">
              <a:schemeClr val="accent6">
                <a:tint val="15000"/>
                <a:satMod val="350000"/>
              </a:schemeClr>
            </a:gs>
          </a:gsLst>
        </a:gradFill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簡易的なチェックのみではありますが、記入漏れなどによる再提出が防げるかも。</a:t>
          </a:r>
        </a:p>
      </xdr:txBody>
    </xdr:sp>
    <xdr:clientData fLocksWithSheet="0" fPrintsWithSheet="0"/>
  </xdr:twoCellAnchor>
  <xdr:twoCellAnchor>
    <xdr:from>
      <xdr:col>19</xdr:col>
      <xdr:colOff>591671</xdr:colOff>
      <xdr:row>12</xdr:row>
      <xdr:rowOff>107577</xdr:rowOff>
    </xdr:from>
    <xdr:to>
      <xdr:col>21</xdr:col>
      <xdr:colOff>459442</xdr:colOff>
      <xdr:row>15</xdr:row>
      <xdr:rowOff>143436</xdr:rowOff>
    </xdr:to>
    <xdr:sp macro="" textlink="">
      <xdr:nvSpPr>
        <xdr:cNvPr id="5" name="吹き出し: 角を丸めた四角形 4">
          <a:extLst>
            <a:ext uri="{FF2B5EF4-FFF2-40B4-BE49-F238E27FC236}">
              <a16:creationId xmlns:a16="http://schemas.microsoft.com/office/drawing/2014/main" id="{835DA2AE-76C6-47FD-8C68-E7847D624605}"/>
            </a:ext>
          </a:extLst>
        </xdr:cNvPr>
        <xdr:cNvSpPr/>
      </xdr:nvSpPr>
      <xdr:spPr>
        <a:xfrm>
          <a:off x="12318851" y="2119257"/>
          <a:ext cx="1102211" cy="538779"/>
        </a:xfrm>
        <a:prstGeom prst="wedgeRoundRectCallout">
          <a:avLst>
            <a:gd name="adj1" fmla="val -79989"/>
            <a:gd name="adj2" fmla="val -44817"/>
            <a:gd name="adj3" fmla="val 16667"/>
          </a:avLst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アプリズムカレンダー外の特別休日があった場合に記入</a:t>
          </a:r>
        </a:p>
      </xdr:txBody>
    </xdr:sp>
    <xdr:clientData fPrintsWithSheet="0"/>
  </xdr:twoCellAnchor>
  <xdr:twoCellAnchor>
    <xdr:from>
      <xdr:col>19</xdr:col>
      <xdr:colOff>573742</xdr:colOff>
      <xdr:row>17</xdr:row>
      <xdr:rowOff>134470</xdr:rowOff>
    </xdr:from>
    <xdr:to>
      <xdr:col>21</xdr:col>
      <xdr:colOff>347382</xdr:colOff>
      <xdr:row>21</xdr:row>
      <xdr:rowOff>54428</xdr:rowOff>
    </xdr:to>
    <xdr:sp macro="" textlink="">
      <xdr:nvSpPr>
        <xdr:cNvPr id="6" name="吹き出し: 角を丸めた四角形 5">
          <a:extLst>
            <a:ext uri="{FF2B5EF4-FFF2-40B4-BE49-F238E27FC236}">
              <a16:creationId xmlns:a16="http://schemas.microsoft.com/office/drawing/2014/main" id="{A8C3E05E-62F9-4DCE-8FEE-3DB07B831298}"/>
            </a:ext>
          </a:extLst>
        </xdr:cNvPr>
        <xdr:cNvSpPr/>
      </xdr:nvSpPr>
      <xdr:spPr>
        <a:xfrm>
          <a:off x="12300922" y="2984350"/>
          <a:ext cx="1008080" cy="590518"/>
        </a:xfrm>
        <a:prstGeom prst="wedgeRoundRectCallout">
          <a:avLst>
            <a:gd name="adj1" fmla="val -87305"/>
            <a:gd name="adj2" fmla="val 68113"/>
            <a:gd name="adj3" fmla="val 16667"/>
          </a:avLst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記入者の勤務先、出退勤時間、お昼の休憩開始時間、お昼の休憩終了時間、</a:t>
          </a:r>
          <a:r>
            <a:rPr kumimoji="1" lang="en-US" altLang="ja-JP" sz="1100"/>
            <a:t>1</a:t>
          </a:r>
          <a:r>
            <a:rPr kumimoji="1" lang="ja-JP" altLang="en-US" sz="1100"/>
            <a:t>日の労働時間を記入</a:t>
          </a:r>
          <a:endParaRPr kumimoji="1" lang="en-US" altLang="ja-JP" sz="1100"/>
        </a:p>
        <a:p>
          <a:pPr algn="l"/>
          <a:r>
            <a:rPr kumimoji="1" lang="en-US" altLang="ja-JP" sz="1100" b="1"/>
            <a:t>(</a:t>
          </a:r>
          <a:r>
            <a:rPr kumimoji="1" lang="ja-JP" altLang="en-US" sz="1100" b="1"/>
            <a:t>マクロが自動入力</a:t>
          </a:r>
          <a:r>
            <a:rPr kumimoji="1" lang="en-US" altLang="ja-JP" sz="1100" b="1"/>
            <a:t>)</a:t>
          </a:r>
          <a:endParaRPr kumimoji="1" lang="ja-JP" altLang="en-US" sz="1100"/>
        </a:p>
      </xdr:txBody>
    </xdr:sp>
    <xdr:clientData fPrintsWithSheet="0"/>
  </xdr:twoCellAnchor>
  <xdr:twoCellAnchor>
    <xdr:from>
      <xdr:col>19</xdr:col>
      <xdr:colOff>269276</xdr:colOff>
      <xdr:row>4</xdr:row>
      <xdr:rowOff>105000</xdr:rowOff>
    </xdr:from>
    <xdr:to>
      <xdr:col>20</xdr:col>
      <xdr:colOff>1311089</xdr:colOff>
      <xdr:row>7</xdr:row>
      <xdr:rowOff>375846</xdr:rowOff>
    </xdr:to>
    <xdr:sp macro="" textlink="">
      <xdr:nvSpPr>
        <xdr:cNvPr id="7" name="吹き出し: 角を丸めた四角形 6">
          <a:extLst>
            <a:ext uri="{FF2B5EF4-FFF2-40B4-BE49-F238E27FC236}">
              <a16:creationId xmlns:a16="http://schemas.microsoft.com/office/drawing/2014/main" id="{BB23128C-1D17-4C0C-88D1-C2120B00A584}"/>
            </a:ext>
          </a:extLst>
        </xdr:cNvPr>
        <xdr:cNvSpPr/>
      </xdr:nvSpPr>
      <xdr:spPr>
        <a:xfrm>
          <a:off x="11996456" y="775560"/>
          <a:ext cx="965613" cy="568026"/>
        </a:xfrm>
        <a:prstGeom prst="wedgeRoundRectCallout">
          <a:avLst>
            <a:gd name="adj1" fmla="val -79519"/>
            <a:gd name="adj2" fmla="val -69207"/>
            <a:gd name="adj3" fmla="val 16667"/>
          </a:avLst>
        </a:prstGeom>
        <a:gradFill>
          <a:gsLst>
            <a:gs pos="0">
              <a:schemeClr val="accent6">
                <a:tint val="50000"/>
                <a:satMod val="300000"/>
              </a:schemeClr>
            </a:gs>
            <a:gs pos="35000">
              <a:schemeClr val="accent6">
                <a:tint val="37000"/>
                <a:satMod val="300000"/>
              </a:schemeClr>
            </a:gs>
            <a:gs pos="100000">
              <a:schemeClr val="accent6">
                <a:tint val="15000"/>
                <a:satMod val="350000"/>
              </a:schemeClr>
            </a:gs>
          </a:gsLst>
        </a:gradFill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休日や出勤日のセル色がおかしくなったら、このボタンを押すことで修正されます。</a:t>
          </a:r>
        </a:p>
      </xdr:txBody>
    </xdr:sp>
    <xdr:clientData fLocksWithSheet="0" fPrintsWithSheet="0"/>
  </xdr:twoCellAnchor>
  <xdr:oneCellAnchor>
    <xdr:from>
      <xdr:col>9</xdr:col>
      <xdr:colOff>176893</xdr:colOff>
      <xdr:row>1</xdr:row>
      <xdr:rowOff>54427</xdr:rowOff>
    </xdr:from>
    <xdr:ext cx="5558117" cy="2124417"/>
    <xdr:sp macro="" textlink="">
      <xdr:nvSpPr>
        <xdr:cNvPr id="8" name="テキスト ボックス 7">
          <a:extLst>
            <a:ext uri="{FF2B5EF4-FFF2-40B4-BE49-F238E27FC236}">
              <a16:creationId xmlns:a16="http://schemas.microsoft.com/office/drawing/2014/main" id="{BE24FE50-7062-47D4-897F-78A7FD1C35C2}"/>
            </a:ext>
          </a:extLst>
        </xdr:cNvPr>
        <xdr:cNvSpPr txBox="1"/>
      </xdr:nvSpPr>
      <xdr:spPr>
        <a:xfrm>
          <a:off x="5731873" y="222067"/>
          <a:ext cx="5558117" cy="2124417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kumimoji="1" lang="ja-JP" altLang="en-US" sz="1050" b="1" u="sng">
              <a:solidFill>
                <a:srgbClr val="C00000"/>
              </a:solidFill>
              <a:latin typeface="メイリオ" panose="020B0604030504040204" pitchFamily="50" charset="-128"/>
              <a:ea typeface="メイリオ" panose="020B0604030504040204" pitchFamily="50" charset="-128"/>
            </a:rPr>
            <a:t>重要</a:t>
          </a:r>
          <a:r>
            <a:rPr kumimoji="1" lang="en-US" altLang="ja-JP" sz="1050" b="1" u="sng">
              <a:solidFill>
                <a:srgbClr val="C00000"/>
              </a:solidFill>
              <a:latin typeface="メイリオ" panose="020B0604030504040204" pitchFamily="50" charset="-128"/>
              <a:ea typeface="メイリオ" panose="020B0604030504040204" pitchFamily="50" charset="-128"/>
            </a:rPr>
            <a:t>‼</a:t>
          </a:r>
          <a:r>
            <a:rPr kumimoji="1" lang="ja-JP" altLang="en-US" sz="1050" b="1" u="sng">
              <a:solidFill>
                <a:srgbClr val="C00000"/>
              </a:solidFill>
              <a:latin typeface="メイリオ" panose="020B0604030504040204" pitchFamily="50" charset="-128"/>
              <a:ea typeface="メイリオ" panose="020B0604030504040204" pitchFamily="50" charset="-128"/>
            </a:rPr>
            <a:t>提出前に確認してください</a:t>
          </a:r>
          <a:endParaRPr kumimoji="1" lang="en-US" altLang="ja-JP" sz="1050" b="1" u="sng">
            <a:solidFill>
              <a:srgbClr val="C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  <a:p>
          <a:r>
            <a:rPr kumimoji="1" lang="ja-JP" altLang="en-US" sz="1000">
              <a:latin typeface="メイリオ" panose="020B0604030504040204" pitchFamily="50" charset="-128"/>
              <a:ea typeface="メイリオ" panose="020B0604030504040204" pitchFamily="50" charset="-128"/>
            </a:rPr>
            <a:t>✔　テレワークの記載はしていますか</a:t>
          </a:r>
          <a:endParaRPr kumimoji="1" lang="en-US" altLang="ja-JP" sz="1000">
            <a:latin typeface="メイリオ" panose="020B0604030504040204" pitchFamily="50" charset="-128"/>
            <a:ea typeface="メイリオ" panose="020B0604030504040204" pitchFamily="50" charset="-128"/>
          </a:endParaRPr>
        </a:p>
        <a:p>
          <a:pPr marL="0" indent="0"/>
          <a:r>
            <a:rPr kumimoji="1" lang="ja-JP" altLang="ja-JP" sz="1000">
              <a:solidFill>
                <a:schemeClr val="tx1"/>
              </a:solidFill>
              <a:latin typeface="メイリオ" panose="020B0604030504040204" pitchFamily="50" charset="-128"/>
              <a:ea typeface="メイリオ" panose="020B0604030504040204" pitchFamily="50" charset="-128"/>
              <a:cs typeface="+mn-cs"/>
            </a:rPr>
            <a:t>✔　</a:t>
          </a:r>
          <a:r>
            <a:rPr kumimoji="1" lang="ja-JP" altLang="en-US" sz="1000">
              <a:solidFill>
                <a:schemeClr val="tx1"/>
              </a:solidFill>
              <a:latin typeface="メイリオ" panose="020B0604030504040204" pitchFamily="50" charset="-128"/>
              <a:ea typeface="メイリオ" panose="020B0604030504040204" pitchFamily="50" charset="-128"/>
              <a:cs typeface="+mn-cs"/>
            </a:rPr>
            <a:t>交通費精算書は正しく記載されていますか</a:t>
          </a:r>
          <a:endParaRPr kumimoji="1" lang="en-US" altLang="ja-JP" sz="1000">
            <a:solidFill>
              <a:schemeClr val="tx1"/>
            </a:solidFill>
            <a:latin typeface="メイリオ" panose="020B0604030504040204" pitchFamily="50" charset="-128"/>
            <a:ea typeface="メイリオ" panose="020B0604030504040204" pitchFamily="50" charset="-128"/>
            <a:cs typeface="+mn-cs"/>
          </a:endParaRPr>
        </a:p>
        <a:p>
          <a:r>
            <a:rPr kumimoji="1" lang="ja-JP" altLang="ja-JP" sz="1000">
              <a:solidFill>
                <a:schemeClr val="tx1"/>
              </a:solidFill>
              <a:effectLst/>
              <a:latin typeface="メイリオ" panose="020B0604030504040204" pitchFamily="50" charset="-128"/>
              <a:ea typeface="メイリオ" panose="020B0604030504040204" pitchFamily="50" charset="-128"/>
              <a:cs typeface="+mn-cs"/>
            </a:rPr>
            <a:t>✔</a:t>
          </a:r>
          <a:r>
            <a:rPr kumimoji="1" lang="ja-JP" altLang="en-US" sz="1000">
              <a:solidFill>
                <a:schemeClr val="tx1"/>
              </a:solidFill>
              <a:effectLst/>
              <a:latin typeface="メイリオ" panose="020B0604030504040204" pitchFamily="50" charset="-128"/>
              <a:ea typeface="メイリオ" panose="020B0604030504040204" pitchFamily="50" charset="-128"/>
              <a:cs typeface="+mn-cs"/>
            </a:rPr>
            <a:t>　欠勤</a:t>
          </a:r>
          <a:r>
            <a:rPr kumimoji="1" lang="en-US" altLang="ja-JP" sz="1000">
              <a:solidFill>
                <a:schemeClr val="tx1"/>
              </a:solidFill>
              <a:effectLst/>
              <a:latin typeface="メイリオ" panose="020B0604030504040204" pitchFamily="50" charset="-128"/>
              <a:ea typeface="メイリオ" panose="020B0604030504040204" pitchFamily="50" charset="-128"/>
              <a:cs typeface="+mn-cs"/>
            </a:rPr>
            <a:t>/</a:t>
          </a:r>
          <a:r>
            <a:rPr kumimoji="1" lang="ja-JP" altLang="en-US" sz="1000">
              <a:solidFill>
                <a:schemeClr val="tx1"/>
              </a:solidFill>
              <a:effectLst/>
              <a:latin typeface="メイリオ" panose="020B0604030504040204" pitchFamily="50" charset="-128"/>
              <a:ea typeface="メイリオ" panose="020B0604030504040204" pitchFamily="50" charset="-128"/>
              <a:cs typeface="+mn-cs"/>
            </a:rPr>
            <a:t>有給のプルダウンはしていますか</a:t>
          </a:r>
          <a:endParaRPr kumimoji="1" lang="en-US" altLang="ja-JP" sz="1000">
            <a:solidFill>
              <a:schemeClr val="tx1"/>
            </a:solidFill>
            <a:effectLst/>
            <a:latin typeface="メイリオ" panose="020B0604030504040204" pitchFamily="50" charset="-128"/>
            <a:ea typeface="メイリオ" panose="020B0604030504040204" pitchFamily="50" charset="-128"/>
            <a:cs typeface="+mn-cs"/>
          </a:endParaRPr>
        </a:p>
        <a:p>
          <a:r>
            <a:rPr kumimoji="1" lang="ja-JP" altLang="ja-JP" sz="1000">
              <a:solidFill>
                <a:schemeClr val="tx1"/>
              </a:solidFill>
              <a:effectLst/>
              <a:latin typeface="メイリオ" panose="020B0604030504040204" pitchFamily="50" charset="-128"/>
              <a:ea typeface="メイリオ" panose="020B0604030504040204" pitchFamily="50" charset="-128"/>
              <a:cs typeface="+mn-cs"/>
            </a:rPr>
            <a:t>✔</a:t>
          </a:r>
          <a:r>
            <a:rPr kumimoji="1" lang="ja-JP" altLang="en-US" sz="1000">
              <a:solidFill>
                <a:schemeClr val="tx1"/>
              </a:solidFill>
              <a:effectLst/>
              <a:latin typeface="メイリオ" panose="020B0604030504040204" pitchFamily="50" charset="-128"/>
              <a:ea typeface="メイリオ" panose="020B0604030504040204" pitchFamily="50" charset="-128"/>
              <a:cs typeface="+mn-cs"/>
            </a:rPr>
            <a:t>　残業</a:t>
          </a:r>
          <a:r>
            <a:rPr kumimoji="1" lang="en-US" altLang="ja-JP" sz="1000">
              <a:solidFill>
                <a:schemeClr val="tx1"/>
              </a:solidFill>
              <a:effectLst/>
              <a:latin typeface="メイリオ" panose="020B0604030504040204" pitchFamily="50" charset="-128"/>
              <a:ea typeface="メイリオ" panose="020B0604030504040204" pitchFamily="50" charset="-128"/>
              <a:cs typeface="+mn-cs"/>
            </a:rPr>
            <a:t>(</a:t>
          </a:r>
          <a:r>
            <a:rPr kumimoji="1" lang="ja-JP" altLang="en-US" sz="1000">
              <a:solidFill>
                <a:schemeClr val="tx1"/>
              </a:solidFill>
              <a:effectLst/>
              <a:latin typeface="メイリオ" panose="020B0604030504040204" pitchFamily="50" charset="-128"/>
              <a:ea typeface="メイリオ" panose="020B0604030504040204" pitchFamily="50" charset="-128"/>
              <a:cs typeface="+mn-cs"/>
            </a:rPr>
            <a:t>社内業務に限る</a:t>
          </a:r>
          <a:r>
            <a:rPr kumimoji="1" lang="en-US" altLang="ja-JP" sz="1000">
              <a:solidFill>
                <a:schemeClr val="tx1"/>
              </a:solidFill>
              <a:effectLst/>
              <a:latin typeface="メイリオ" panose="020B0604030504040204" pitchFamily="50" charset="-128"/>
              <a:ea typeface="メイリオ" panose="020B0604030504040204" pitchFamily="50" charset="-128"/>
              <a:cs typeface="+mn-cs"/>
            </a:rPr>
            <a:t>)</a:t>
          </a:r>
          <a:r>
            <a:rPr kumimoji="1" lang="ja-JP" altLang="en-US" sz="1000">
              <a:solidFill>
                <a:schemeClr val="tx1"/>
              </a:solidFill>
              <a:effectLst/>
              <a:latin typeface="メイリオ" panose="020B0604030504040204" pitchFamily="50" charset="-128"/>
              <a:ea typeface="メイリオ" panose="020B0604030504040204" pitchFamily="50" charset="-128"/>
              <a:cs typeface="+mn-cs"/>
            </a:rPr>
            <a:t>やお休みの勤怠の報告は</a:t>
          </a:r>
          <a:r>
            <a:rPr kumimoji="1" lang="en-US" altLang="ja-JP" sz="1000">
              <a:solidFill>
                <a:schemeClr val="tx1"/>
              </a:solidFill>
              <a:effectLst/>
              <a:latin typeface="メイリオ" panose="020B0604030504040204" pitchFamily="50" charset="-128"/>
              <a:ea typeface="メイリオ" panose="020B0604030504040204" pitchFamily="50" charset="-128"/>
              <a:cs typeface="+mn-cs"/>
            </a:rPr>
            <a:t>LINEworks</a:t>
          </a:r>
          <a:r>
            <a:rPr kumimoji="1" lang="ja-JP" altLang="en-US" sz="1000">
              <a:solidFill>
                <a:schemeClr val="tx1"/>
              </a:solidFill>
              <a:effectLst/>
              <a:latin typeface="メイリオ" panose="020B0604030504040204" pitchFamily="50" charset="-128"/>
              <a:ea typeface="メイリオ" panose="020B0604030504040204" pitchFamily="50" charset="-128"/>
              <a:cs typeface="+mn-cs"/>
            </a:rPr>
            <a:t>に</a:t>
          </a:r>
          <a:r>
            <a:rPr kumimoji="1" lang="en-US" altLang="ja-JP" sz="1000">
              <a:solidFill>
                <a:schemeClr val="tx1"/>
              </a:solidFill>
              <a:effectLst/>
              <a:latin typeface="メイリオ" panose="020B0604030504040204" pitchFamily="50" charset="-128"/>
              <a:ea typeface="メイリオ" panose="020B0604030504040204" pitchFamily="50" charset="-128"/>
              <a:cs typeface="+mn-cs"/>
            </a:rPr>
            <a:t>UP</a:t>
          </a:r>
          <a:r>
            <a:rPr kumimoji="1" lang="ja-JP" altLang="en-US" sz="1000">
              <a:solidFill>
                <a:schemeClr val="tx1"/>
              </a:solidFill>
              <a:effectLst/>
              <a:latin typeface="メイリオ" panose="020B0604030504040204" pitchFamily="50" charset="-128"/>
              <a:ea typeface="メイリオ" panose="020B0604030504040204" pitchFamily="50" charset="-128"/>
              <a:cs typeface="+mn-cs"/>
            </a:rPr>
            <a:t>されていますか</a:t>
          </a:r>
          <a:endParaRPr kumimoji="1" lang="en-US" altLang="ja-JP" sz="1000">
            <a:solidFill>
              <a:schemeClr val="tx1"/>
            </a:solidFill>
            <a:effectLst/>
            <a:latin typeface="メイリオ" panose="020B0604030504040204" pitchFamily="50" charset="-128"/>
            <a:ea typeface="メイリオ" panose="020B0604030504040204" pitchFamily="50" charset="-128"/>
            <a:cs typeface="+mn-cs"/>
          </a:endParaRPr>
        </a:p>
        <a:p>
          <a:r>
            <a:rPr kumimoji="1" lang="ja-JP" altLang="ja-JP" sz="1000">
              <a:solidFill>
                <a:schemeClr val="tx1"/>
              </a:solidFill>
              <a:effectLst/>
              <a:latin typeface="メイリオ" panose="020B0604030504040204" pitchFamily="50" charset="-128"/>
              <a:ea typeface="メイリオ" panose="020B0604030504040204" pitchFamily="50" charset="-128"/>
              <a:cs typeface="+mn-cs"/>
            </a:rPr>
            <a:t>✔</a:t>
          </a:r>
          <a:r>
            <a:rPr kumimoji="1" lang="ja-JP" altLang="en-US" sz="1000">
              <a:solidFill>
                <a:schemeClr val="tx1"/>
              </a:solidFill>
              <a:effectLst/>
              <a:latin typeface="メイリオ" panose="020B0604030504040204" pitchFamily="50" charset="-128"/>
              <a:ea typeface="メイリオ" panose="020B0604030504040204" pitchFamily="50" charset="-128"/>
              <a:cs typeface="+mn-cs"/>
            </a:rPr>
            <a:t>　客先勤怠と相違はありませんか。ある場合は「備考」欄に理由の記載必須です</a:t>
          </a:r>
          <a:endParaRPr kumimoji="1" lang="en-US" altLang="ja-JP" sz="1000">
            <a:solidFill>
              <a:schemeClr val="tx1"/>
            </a:solidFill>
            <a:effectLst/>
            <a:latin typeface="メイリオ" panose="020B0604030504040204" pitchFamily="50" charset="-128"/>
            <a:ea typeface="メイリオ" panose="020B0604030504040204" pitchFamily="50" charset="-128"/>
            <a:cs typeface="+mn-cs"/>
          </a:endParaRPr>
        </a:p>
        <a:p>
          <a:pPr marL="0" indent="0"/>
          <a:r>
            <a:rPr kumimoji="1" lang="ja-JP" altLang="ja-JP" sz="1000">
              <a:solidFill>
                <a:schemeClr val="tx1"/>
              </a:solidFill>
              <a:latin typeface="メイリオ" panose="020B0604030504040204" pitchFamily="50" charset="-128"/>
              <a:ea typeface="メイリオ" panose="020B0604030504040204" pitchFamily="50" charset="-128"/>
              <a:cs typeface="+mn-cs"/>
            </a:rPr>
            <a:t>✔　</a:t>
          </a:r>
          <a:r>
            <a:rPr kumimoji="1" lang="ja-JP" altLang="en-US" sz="1000">
              <a:solidFill>
                <a:schemeClr val="tx1"/>
              </a:solidFill>
              <a:latin typeface="メイリオ" panose="020B0604030504040204" pitchFamily="50" charset="-128"/>
              <a:ea typeface="メイリオ" panose="020B0604030504040204" pitchFamily="50" charset="-128"/>
              <a:cs typeface="+mn-cs"/>
            </a:rPr>
            <a:t>休日出勤をされた日は、振休予定日を記載していますか</a:t>
          </a:r>
          <a:endParaRPr kumimoji="1" lang="en-US" altLang="ja-JP" sz="1000">
            <a:solidFill>
              <a:schemeClr val="tx1"/>
            </a:solidFill>
            <a:latin typeface="メイリオ" panose="020B0604030504040204" pitchFamily="50" charset="-128"/>
            <a:ea typeface="メイリオ" panose="020B0604030504040204" pitchFamily="50" charset="-128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ja-JP" sz="1000">
              <a:solidFill>
                <a:schemeClr val="tx1"/>
              </a:solidFill>
              <a:effectLst/>
              <a:latin typeface="メイリオ" panose="020B0604030504040204" pitchFamily="50" charset="-128"/>
              <a:ea typeface="メイリオ" panose="020B0604030504040204" pitchFamily="50" charset="-128"/>
              <a:cs typeface="+mn-cs"/>
            </a:rPr>
            <a:t>✔　</a:t>
          </a:r>
          <a:r>
            <a:rPr kumimoji="1" lang="ja-JP" altLang="en-US" sz="1000">
              <a:solidFill>
                <a:schemeClr val="tx1"/>
              </a:solidFill>
              <a:effectLst/>
              <a:latin typeface="メイリオ" panose="020B0604030504040204" pitchFamily="50" charset="-128"/>
              <a:ea typeface="メイリオ" panose="020B0604030504040204" pitchFamily="50" charset="-128"/>
              <a:cs typeface="+mn-cs"/>
            </a:rPr>
            <a:t>各種精算書の領収書の原紙は提出しましたか</a:t>
          </a:r>
          <a:endParaRPr kumimoji="1" lang="ja-JP" altLang="ja-JP" sz="1000">
            <a:solidFill>
              <a:schemeClr val="tx1"/>
            </a:solidFill>
            <a:effectLst/>
            <a:latin typeface="メイリオ" panose="020B0604030504040204" pitchFamily="50" charset="-128"/>
            <a:ea typeface="メイリオ" panose="020B0604030504040204" pitchFamily="50" charset="-128"/>
            <a:cs typeface="+mn-cs"/>
          </a:endParaRP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89645</xdr:colOff>
      <xdr:row>9</xdr:row>
      <xdr:rowOff>72785</xdr:rowOff>
    </xdr:from>
    <xdr:to>
      <xdr:col>6</xdr:col>
      <xdr:colOff>1434352</xdr:colOff>
      <xdr:row>11</xdr:row>
      <xdr:rowOff>89647</xdr:rowOff>
    </xdr:to>
    <xdr:sp macro="[0]!JobCodeInsert_Click" textlink="">
      <xdr:nvSpPr>
        <xdr:cNvPr id="2" name="四角形: 角を丸くする 3">
          <a:extLst>
            <a:ext uri="{FF2B5EF4-FFF2-40B4-BE49-F238E27FC236}">
              <a16:creationId xmlns:a16="http://schemas.microsoft.com/office/drawing/2014/main" id="{81C81AD0-5236-4FCA-80E9-66B92FE56FB3}"/>
            </a:ext>
          </a:extLst>
        </xdr:cNvPr>
        <xdr:cNvSpPr/>
      </xdr:nvSpPr>
      <xdr:spPr>
        <a:xfrm>
          <a:off x="9500345" y="1535825"/>
          <a:ext cx="2243867" cy="336902"/>
        </a:xfrm>
        <a:prstGeom prst="roundRect">
          <a:avLst/>
        </a:prstGeom>
        <a:solidFill>
          <a:srgbClr val="92D050"/>
        </a:solidFill>
        <a:ln>
          <a:solidFill>
            <a:schemeClr val="accent4">
              <a:lumMod val="40000"/>
              <a:lumOff val="60000"/>
            </a:schemeClr>
          </a:solidFill>
        </a:ln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 b="1">
              <a:solidFill>
                <a:sysClr val="windowText" lastClr="000000"/>
              </a:solidFill>
              <a:latin typeface="BIZ UDPゴシック" panose="020B0400000000000000" pitchFamily="50" charset="-128"/>
              <a:ea typeface="BIZ UDPゴシック" panose="020B0400000000000000" pitchFamily="50" charset="-128"/>
            </a:rPr>
            <a:t>ジョブコードを自動入力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シック">
      <a:dk1>
        <a:sysClr val="windowText" lastClr="000000"/>
      </a:dk1>
      <a:lt1>
        <a:sysClr val="window" lastClr="FFFFFF"/>
      </a:lt1>
      <a:dk2>
        <a:srgbClr val="323232"/>
      </a:dk2>
      <a:lt2>
        <a:srgbClr val="E3DED1"/>
      </a:lt2>
      <a:accent1>
        <a:srgbClr val="F07F09"/>
      </a:accent1>
      <a:accent2>
        <a:srgbClr val="9F2936"/>
      </a:accent2>
      <a:accent3>
        <a:srgbClr val="1B587C"/>
      </a:accent3>
      <a:accent4>
        <a:srgbClr val="4E8542"/>
      </a:accent4>
      <a:accent5>
        <a:srgbClr val="604878"/>
      </a:accent5>
      <a:accent6>
        <a:srgbClr val="C19859"/>
      </a:accent6>
      <a:hlink>
        <a:srgbClr val="6B9F25"/>
      </a:hlink>
      <a:folHlink>
        <a:srgbClr val="B26B02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E6054-7523-4541-91E6-C2CAE4D3EE48}">
  <sheetPr codeName="Sheet15">
    <pageSetUpPr fitToPage="1"/>
  </sheetPr>
  <dimension ref="A1:AI45"/>
  <sheetViews>
    <sheetView showGridLines="0" tabSelected="1" view="pageBreakPreview" zoomScale="85" zoomScaleNormal="100" zoomScaleSheetLayoutView="85" workbookViewId="0">
      <pane ySplit="8" topLeftCell="A33" activePane="bottomLeft" state="frozen"/>
      <selection sqref="A1:F2"/>
      <selection pane="bottomLeft" activeCell="G15" sqref="G15"/>
    </sheetView>
  </sheetViews>
  <sheetFormatPr defaultColWidth="9" defaultRowHeight="18.899999999999999" customHeight="1" x14ac:dyDescent="0.2"/>
  <cols>
    <col min="1" max="1" width="8.21875" style="3" bestFit="1" customWidth="1"/>
    <col min="2" max="2" width="5.77734375" style="3" customWidth="1"/>
    <col min="3" max="3" width="21.6640625" style="3" customWidth="1"/>
    <col min="4" max="5" width="9" style="3" customWidth="1"/>
    <col min="6" max="6" width="6.44140625" style="3" customWidth="1"/>
    <col min="7" max="7" width="9.88671875" style="3" customWidth="1"/>
    <col min="8" max="11" width="10.21875" style="3" customWidth="1"/>
    <col min="12" max="12" width="13.33203125" style="23" customWidth="1"/>
    <col min="13" max="14" width="26.21875" style="3" customWidth="1"/>
    <col min="15" max="15" width="5.6640625" style="3" customWidth="1"/>
    <col min="16" max="16" width="10.109375" style="3" customWidth="1"/>
    <col min="17" max="17" width="3.21875" style="3" customWidth="1"/>
    <col min="18" max="18" width="22.6640625" style="3" customWidth="1"/>
    <col min="19" max="19" width="25.109375" style="3" customWidth="1"/>
    <col min="20" max="20" width="20.6640625" style="3" customWidth="1"/>
    <col min="21" max="22" width="17.77734375" style="3" customWidth="1"/>
    <col min="23" max="23" width="18.77734375" style="3" customWidth="1"/>
    <col min="24" max="24" width="3" style="3" customWidth="1"/>
    <col min="25" max="25" width="9.88671875" style="3" customWidth="1"/>
    <col min="26" max="26" width="9" style="3"/>
    <col min="27" max="27" width="9.6640625" style="3" customWidth="1"/>
    <col min="28" max="33" width="3" style="3" customWidth="1"/>
    <col min="34" max="16384" width="9" style="3"/>
  </cols>
  <sheetData>
    <row r="1" spans="1:35" s="2" customFormat="1" ht="9.6" x14ac:dyDescent="0.2">
      <c r="A1" s="1" t="s">
        <v>3</v>
      </c>
      <c r="B1" s="1" t="s">
        <v>3</v>
      </c>
      <c r="C1" s="1" t="s">
        <v>4</v>
      </c>
      <c r="D1" s="1" t="s">
        <v>4</v>
      </c>
      <c r="E1" s="1" t="s">
        <v>4</v>
      </c>
      <c r="F1" s="1" t="s">
        <v>4</v>
      </c>
      <c r="G1" s="1" t="s">
        <v>4</v>
      </c>
      <c r="H1" s="1" t="s">
        <v>3</v>
      </c>
      <c r="I1" s="1" t="s">
        <v>3</v>
      </c>
      <c r="J1" s="1" t="s">
        <v>4</v>
      </c>
      <c r="K1" s="1"/>
      <c r="L1" s="1" t="s">
        <v>4</v>
      </c>
      <c r="M1" s="1" t="s">
        <v>5</v>
      </c>
      <c r="N1" s="1" t="s">
        <v>48</v>
      </c>
      <c r="O1" s="1" t="s">
        <v>3</v>
      </c>
      <c r="P1" s="1" t="s">
        <v>3</v>
      </c>
      <c r="Q1" s="1" t="s">
        <v>3</v>
      </c>
      <c r="R1" s="1" t="s">
        <v>4</v>
      </c>
      <c r="S1" s="1" t="s">
        <v>3</v>
      </c>
      <c r="T1" s="1" t="s">
        <v>3</v>
      </c>
      <c r="U1" s="1"/>
      <c r="V1" s="1"/>
      <c r="W1" s="1"/>
      <c r="X1" s="1"/>
      <c r="Y1" s="1" t="s">
        <v>5</v>
      </c>
      <c r="Z1" s="1" t="s">
        <v>3</v>
      </c>
      <c r="AA1" s="1"/>
      <c r="AB1" s="1"/>
      <c r="AC1" s="1"/>
      <c r="AD1" s="1"/>
      <c r="AE1" s="1"/>
      <c r="AF1" s="1"/>
      <c r="AG1" s="1"/>
      <c r="AH1" s="1" t="s">
        <v>5</v>
      </c>
      <c r="AI1" s="1" t="s">
        <v>3</v>
      </c>
    </row>
    <row r="2" spans="1:35" ht="29.25" customHeight="1" x14ac:dyDescent="0.2">
      <c r="A2" s="78"/>
      <c r="B2" s="78"/>
      <c r="C2" s="78"/>
      <c r="D2" s="78"/>
      <c r="E2" s="78"/>
      <c r="F2" s="78"/>
      <c r="G2" s="78"/>
      <c r="H2" s="78"/>
      <c r="I2" s="78"/>
      <c r="J2" s="78"/>
      <c r="K2" s="78"/>
      <c r="L2" s="78"/>
      <c r="M2" s="78"/>
      <c r="N2" s="78"/>
      <c r="O2" s="78" t="s">
        <v>175</v>
      </c>
      <c r="P2" s="77"/>
    </row>
    <row r="3" spans="1:35" ht="78.75" customHeight="1" x14ac:dyDescent="0.2">
      <c r="A3" s="79" t="s">
        <v>36</v>
      </c>
      <c r="B3" s="79"/>
      <c r="C3" s="79"/>
      <c r="D3" s="79"/>
      <c r="E3" s="79"/>
      <c r="F3" s="79"/>
      <c r="G3" s="79"/>
      <c r="H3" s="79"/>
      <c r="I3" s="79"/>
      <c r="J3" s="79"/>
      <c r="K3" s="79"/>
      <c r="L3" s="79"/>
      <c r="M3" s="79"/>
      <c r="N3" s="79"/>
      <c r="O3" s="79"/>
      <c r="P3" s="79"/>
    </row>
    <row r="4" spans="1:35" ht="18.75" customHeight="1" x14ac:dyDescent="0.2">
      <c r="A4" s="79"/>
      <c r="B4" s="79"/>
      <c r="C4" s="79"/>
      <c r="D4" s="79"/>
      <c r="E4" s="79"/>
      <c r="F4" s="79"/>
      <c r="G4" s="79"/>
      <c r="H4" s="79"/>
      <c r="I4" s="79"/>
      <c r="J4" s="79"/>
      <c r="K4" s="79"/>
      <c r="L4" s="79"/>
      <c r="M4" s="79"/>
      <c r="N4" s="79"/>
      <c r="O4" s="79"/>
      <c r="P4" s="79"/>
    </row>
    <row r="5" spans="1:35" ht="33.75" customHeight="1" x14ac:dyDescent="0.2">
      <c r="A5" s="80" t="str">
        <f>( R9 &amp; "年" &amp; R10 &amp; "月度")</f>
        <v>2022年7月度</v>
      </c>
      <c r="B5" s="80"/>
      <c r="C5" s="80"/>
      <c r="D5" s="76" t="s">
        <v>34</v>
      </c>
      <c r="E5" s="81" t="s">
        <v>174</v>
      </c>
      <c r="F5" s="81"/>
      <c r="G5" s="81"/>
      <c r="H5" s="81"/>
      <c r="I5" s="82"/>
      <c r="J5" s="23"/>
      <c r="K5" s="23"/>
    </row>
    <row r="6" spans="1:35" ht="15.75" customHeight="1" x14ac:dyDescent="0.2">
      <c r="H6" s="23"/>
      <c r="I6" s="23"/>
      <c r="J6" s="23"/>
      <c r="K6" s="23"/>
    </row>
    <row r="7" spans="1:35" ht="18.899999999999999" customHeight="1" x14ac:dyDescent="0.2">
      <c r="K7" s="75" t="s">
        <v>6</v>
      </c>
      <c r="N7" s="75" t="s">
        <v>47</v>
      </c>
      <c r="O7" s="83" t="s">
        <v>6</v>
      </c>
      <c r="P7" s="84"/>
      <c r="Y7" s="85" t="s">
        <v>7</v>
      </c>
      <c r="Z7" s="85"/>
      <c r="AA7" s="85"/>
      <c r="AH7" s="86" t="s">
        <v>7</v>
      </c>
      <c r="AI7" s="87"/>
    </row>
    <row r="8" spans="1:35" ht="41.4" customHeight="1" thickBot="1" x14ac:dyDescent="0.25">
      <c r="A8" s="72" t="s">
        <v>1</v>
      </c>
      <c r="B8" s="72" t="s">
        <v>8</v>
      </c>
      <c r="C8" s="72" t="s">
        <v>9</v>
      </c>
      <c r="D8" s="72" t="s">
        <v>10</v>
      </c>
      <c r="E8" s="72" t="s">
        <v>11</v>
      </c>
      <c r="F8" s="72" t="s">
        <v>12</v>
      </c>
      <c r="G8" s="72" t="s">
        <v>13</v>
      </c>
      <c r="H8" s="72" t="s">
        <v>14</v>
      </c>
      <c r="I8" s="74" t="s">
        <v>35</v>
      </c>
      <c r="J8" s="73" t="s">
        <v>15</v>
      </c>
      <c r="K8" s="74" t="s">
        <v>16</v>
      </c>
      <c r="L8" s="73" t="s">
        <v>17</v>
      </c>
      <c r="M8" s="72" t="s">
        <v>2</v>
      </c>
      <c r="N8" s="72" t="s">
        <v>38</v>
      </c>
      <c r="O8" s="71" t="s">
        <v>18</v>
      </c>
      <c r="P8" s="71" t="s">
        <v>19</v>
      </c>
      <c r="Y8" s="70" t="s">
        <v>10</v>
      </c>
      <c r="Z8" s="70" t="s">
        <v>20</v>
      </c>
      <c r="AA8" s="70" t="s">
        <v>21</v>
      </c>
      <c r="AH8" s="70" t="s">
        <v>22</v>
      </c>
      <c r="AI8" s="70" t="s">
        <v>23</v>
      </c>
    </row>
    <row r="9" spans="1:35" ht="27" customHeight="1" thickBot="1" x14ac:dyDescent="0.25">
      <c r="A9" s="4">
        <v>44743</v>
      </c>
      <c r="B9" s="5">
        <f t="shared" ref="B9:B39" si="0">IF(A9="","",A9)</f>
        <v>44743</v>
      </c>
      <c r="C9" s="6"/>
      <c r="D9" s="7"/>
      <c r="E9" s="7"/>
      <c r="F9" s="8" t="str">
        <f t="shared" ref="F9:F39" si="1">IF($D9="","",IF(AND($D9&lt;VLOOKUP($C9,R$24:V$29,5,FALSE),$E9&gt;=VLOOKUP($C9,R$24:V$29,5,FALSE)),(VLOOKUP($C9,R$24:V$29,5,FALSE)-VLOOKUP($C9,R$24:V$29,4,FALSE))*24,"0.00 "))</f>
        <v/>
      </c>
      <c r="G9" s="68" t="str">
        <f t="shared" ref="G9:G39" si="2">IF(ISBLANK(D9),"",ROUND(IF(D9="","",(E9-D9)*24-F9),5))</f>
        <v/>
      </c>
      <c r="H9" s="68" t="str">
        <f t="shared" ref="H9:H39" si="3">IF(G9="","",IF(O9&gt;0,IF(O9="",G9,IF(G9&gt;AA9,G9-AA9,0)),IF(G9&gt;AA9,G9-AA9,0)))</f>
        <v/>
      </c>
      <c r="I9" s="68" t="str">
        <f t="shared" ref="I9:I39" si="4">IF(G9="","",IF(E9&gt;TIME(22,0,0),IF(D9&gt;TIME(22,0,0),(E9-D9)*24-F9,(E9-TIME(22,0,0))*24),0))</f>
        <v/>
      </c>
      <c r="J9" s="64" t="str">
        <f t="shared" ref="J9:J39" si="5">IF(G9="", "",  IF(O9&gt;0,0,IF(ROUND(AA9-G9,2)&gt;0,AA9-G9,0)))</f>
        <v/>
      </c>
      <c r="K9" s="9"/>
      <c r="L9" s="10" t="s">
        <v>177</v>
      </c>
      <c r="M9" s="11"/>
      <c r="N9" s="35" t="str" cm="1">
        <f t="array" aca="1" ref="N9" ca="1">IF(ISERROR(INDIRECT("時間詳細!A1")),"",IF(AND(ISBLANK(C9),NOT(COUNTIF(INDIRECT("時間詳細!$A$2:$A$200"),A9))),"",IF(ROUND(SUMIF(INDIRECT("時間詳細!$A$2:$A$200"),VALUE(INDIRECT("'" &amp; CONCATENATE($R$9,RIGHTB(REPT("0",2)&amp;$R$10,2)) &amp; "'!A9")),INDIRECT("時間詳細!$C$2:$C$200")),5)=G9,"OK","時間詳細の時間数と不一致です。")))</f>
        <v/>
      </c>
      <c r="O9" s="12">
        <f>0 + IFERROR(MATCH($A9,$Q$13:$Q$20,0)+1, 0)</f>
        <v>0</v>
      </c>
      <c r="P9" s="13" t="str">
        <f>IF(G9&lt;&gt;"", MAX(P$2:P8)+1, "")</f>
        <v/>
      </c>
      <c r="R9" s="14">
        <v>2022</v>
      </c>
      <c r="S9" s="33" t="s">
        <v>24</v>
      </c>
      <c r="Y9" s="67" t="e">
        <f t="shared" ref="Y9:Y39" si="6">VLOOKUP(C9,$R$23:$W$29,2,FALSE)</f>
        <v>#N/A</v>
      </c>
      <c r="Z9" s="67" t="e">
        <f t="shared" ref="Z9:Z39" si="7">VLOOKUP(C9,$R$23:$W$29,3,FALSE)</f>
        <v>#N/A</v>
      </c>
      <c r="AA9" s="66" t="e">
        <f t="shared" ref="AA9:AA39" si="8">VLOOKUP(C9,$R$23:$W$29,6,FALSE)</f>
        <v>#N/A</v>
      </c>
      <c r="AH9" s="65">
        <v>0.56597222222222221</v>
      </c>
      <c r="AI9" s="64">
        <f t="shared" ref="AI9:AI39" si="9">IF(AH9="", "",AH9*24)</f>
        <v>13.583333333333332</v>
      </c>
    </row>
    <row r="10" spans="1:35" ht="27" customHeight="1" thickBot="1" x14ac:dyDescent="0.25">
      <c r="A10" s="4">
        <v>44744</v>
      </c>
      <c r="B10" s="5">
        <f t="shared" si="0"/>
        <v>44744</v>
      </c>
      <c r="C10" s="6"/>
      <c r="D10" s="7"/>
      <c r="E10" s="7"/>
      <c r="F10" s="8" t="str">
        <f t="shared" si="1"/>
        <v/>
      </c>
      <c r="G10" s="68" t="str">
        <f t="shared" si="2"/>
        <v/>
      </c>
      <c r="H10" s="68" t="str">
        <f t="shared" si="3"/>
        <v/>
      </c>
      <c r="I10" s="68" t="str">
        <f t="shared" si="4"/>
        <v/>
      </c>
      <c r="J10" s="64" t="str">
        <f t="shared" si="5"/>
        <v/>
      </c>
      <c r="K10" s="9"/>
      <c r="L10" s="10"/>
      <c r="M10" s="11"/>
      <c r="N10" s="35" t="str" cm="1">
        <f t="array" aca="1" ref="N10" ca="1">IF(ISERROR(INDIRECT("時間詳細!A1")),"",IF(AND(ISBLANK(C10),NOT(COUNTIF(INDIRECT("時間詳細!$A$2:$A$200"),A10))),"",IF(ROUND(SUMIF(INDIRECT("時間詳細!$A$2:$A$200"),VALUE(INDIRECT("'" &amp; CONCATENATE($R$9,RIGHTB(REPT("0",2)&amp;$R$10,2)) &amp; "'!A10")),INDIRECT("時間詳細!$C$2:$C$200")),5)=G10,"OK","時間詳細の時間数と不一致です。")))</f>
        <v/>
      </c>
      <c r="O10" s="12">
        <f>1 + IFERROR(MATCH($A10,$Q$13:$Q$20,0)+1, 0)</f>
        <v>1</v>
      </c>
      <c r="P10" s="13" t="str">
        <f>IF(G10&lt;&gt;"", MAX(P$2:P9)+1, "")</f>
        <v/>
      </c>
      <c r="R10" s="14">
        <v>7</v>
      </c>
      <c r="S10" s="48" t="s">
        <v>24</v>
      </c>
      <c r="Y10" s="67" t="e">
        <f t="shared" si="6"/>
        <v>#N/A</v>
      </c>
      <c r="Z10" s="67" t="e">
        <f t="shared" si="7"/>
        <v>#N/A</v>
      </c>
      <c r="AA10" s="66" t="e">
        <f t="shared" si="8"/>
        <v>#N/A</v>
      </c>
      <c r="AH10" s="65">
        <v>0.56597222222222221</v>
      </c>
      <c r="AI10" s="64">
        <f t="shared" si="9"/>
        <v>13.583333333333332</v>
      </c>
    </row>
    <row r="11" spans="1:35" ht="27" customHeight="1" x14ac:dyDescent="0.2">
      <c r="A11" s="4">
        <v>44745</v>
      </c>
      <c r="B11" s="5">
        <f t="shared" si="0"/>
        <v>44745</v>
      </c>
      <c r="C11" s="6"/>
      <c r="D11" s="7"/>
      <c r="E11" s="7"/>
      <c r="F11" s="8" t="str">
        <f t="shared" si="1"/>
        <v/>
      </c>
      <c r="G11" s="68" t="str">
        <f t="shared" si="2"/>
        <v/>
      </c>
      <c r="H11" s="68" t="str">
        <f t="shared" si="3"/>
        <v/>
      </c>
      <c r="I11" s="68" t="str">
        <f t="shared" si="4"/>
        <v/>
      </c>
      <c r="J11" s="64" t="str">
        <f t="shared" si="5"/>
        <v/>
      </c>
      <c r="K11" s="9"/>
      <c r="L11" s="10"/>
      <c r="M11" s="11"/>
      <c r="N11" s="35" t="str" cm="1">
        <f t="array" aca="1" ref="N11" ca="1">IF(ISERROR(INDIRECT("時間詳細!A1")),"",IF(AND(ISBLANK(C11),NOT(COUNTIF(INDIRECT("時間詳細!$A$2:$A$200"),A11))),"",IF(ROUND(SUMIF(INDIRECT("時間詳細!$A$2:$A$200"),VALUE(INDIRECT("'" &amp; CONCATENATE($R$9,RIGHTB(REPT("0",2)&amp;$R$10,2)) &amp; "'!A11")),INDIRECT("時間詳細!$C$2:$C$200")),5)=G11,"OK","時間詳細の時間数と不一致です。")))</f>
        <v/>
      </c>
      <c r="O11" s="12">
        <f>1 + IFERROR(MATCH($A11,$Q$13:$Q$20,0)+1, 0)</f>
        <v>1</v>
      </c>
      <c r="P11" s="13" t="str">
        <f>IF(G11&lt;&gt;"", MAX(P$2:P10)+1, "")</f>
        <v/>
      </c>
      <c r="Y11" s="67" t="e">
        <f t="shared" si="6"/>
        <v>#N/A</v>
      </c>
      <c r="Z11" s="67" t="e">
        <f t="shared" si="7"/>
        <v>#N/A</v>
      </c>
      <c r="AA11" s="66" t="e">
        <f t="shared" si="8"/>
        <v>#N/A</v>
      </c>
      <c r="AH11" s="65">
        <v>0.56597222222222221</v>
      </c>
      <c r="AI11" s="64">
        <f t="shared" si="9"/>
        <v>13.583333333333332</v>
      </c>
    </row>
    <row r="12" spans="1:35" ht="27" customHeight="1" thickBot="1" x14ac:dyDescent="0.25">
      <c r="A12" s="4">
        <v>44746</v>
      </c>
      <c r="B12" s="5">
        <f t="shared" si="0"/>
        <v>44746</v>
      </c>
      <c r="C12" s="6"/>
      <c r="D12" s="7"/>
      <c r="E12" s="7"/>
      <c r="F12" s="8" t="str">
        <f t="shared" si="1"/>
        <v/>
      </c>
      <c r="G12" s="68" t="str">
        <f t="shared" si="2"/>
        <v/>
      </c>
      <c r="H12" s="68" t="str">
        <f t="shared" si="3"/>
        <v/>
      </c>
      <c r="I12" s="68" t="str">
        <f t="shared" si="4"/>
        <v/>
      </c>
      <c r="J12" s="64" t="str">
        <f t="shared" si="5"/>
        <v/>
      </c>
      <c r="K12" s="9"/>
      <c r="L12" s="10" t="s">
        <v>177</v>
      </c>
      <c r="M12" s="11"/>
      <c r="N12" s="35" t="str" cm="1">
        <f t="array" aca="1" ref="N12" ca="1">IF(ISERROR(INDIRECT("時間詳細!A1")),"",IF(AND(ISBLANK(C12),NOT(COUNTIF(INDIRECT("時間詳細!$A$2:$A$200"),A12))),"",IF(ROUND(SUMIF(INDIRECT("時間詳細!$A$2:$A$200"),VALUE(INDIRECT("'" &amp; CONCATENATE($R$9,RIGHTB(REPT("0",2)&amp;$R$10,2)) &amp; "'!A12")),INDIRECT("時間詳細!$C$2:$C$200")),5)=G12,"OK","時間詳細の時間数と不一致です。")))</f>
        <v/>
      </c>
      <c r="O12" s="12">
        <f>0 + IFERROR(MATCH($A12,$Q$13:$Q$20,0)+1, 0)</f>
        <v>0</v>
      </c>
      <c r="P12" s="13" t="str">
        <f>IF(G12&lt;&gt;"", MAX(P$2:P11)+1, "")</f>
        <v/>
      </c>
      <c r="R12" s="3" t="s">
        <v>37</v>
      </c>
      <c r="Y12" s="67" t="e">
        <f t="shared" si="6"/>
        <v>#N/A</v>
      </c>
      <c r="Z12" s="67" t="e">
        <f t="shared" si="7"/>
        <v>#N/A</v>
      </c>
      <c r="AA12" s="66" t="e">
        <f t="shared" si="8"/>
        <v>#N/A</v>
      </c>
      <c r="AH12" s="65">
        <v>0.4548611111111111</v>
      </c>
      <c r="AI12" s="64">
        <f t="shared" si="9"/>
        <v>10.916666666666666</v>
      </c>
    </row>
    <row r="13" spans="1:35" ht="27" customHeight="1" thickBot="1" x14ac:dyDescent="0.25">
      <c r="A13" s="4">
        <v>44747</v>
      </c>
      <c r="B13" s="5">
        <f t="shared" si="0"/>
        <v>44747</v>
      </c>
      <c r="C13" s="6"/>
      <c r="D13" s="7"/>
      <c r="E13" s="7"/>
      <c r="F13" s="8" t="str">
        <f t="shared" si="1"/>
        <v/>
      </c>
      <c r="G13" s="68" t="str">
        <f t="shared" si="2"/>
        <v/>
      </c>
      <c r="H13" s="68" t="str">
        <f t="shared" si="3"/>
        <v/>
      </c>
      <c r="I13" s="68" t="str">
        <f t="shared" si="4"/>
        <v/>
      </c>
      <c r="J13" s="64" t="str">
        <f t="shared" si="5"/>
        <v/>
      </c>
      <c r="K13" s="9"/>
      <c r="L13" s="10" t="s">
        <v>177</v>
      </c>
      <c r="M13" s="11"/>
      <c r="N13" s="35" t="str" cm="1">
        <f t="array" aca="1" ref="N13" ca="1">IF(ISERROR(INDIRECT("時間詳細!A1")),"",IF(AND(ISBLANK(C13),NOT(COUNTIF(INDIRECT("時間詳細!$A$2:$A$200"),A13))),"",IF(ROUND(SUMIF(INDIRECT("時間詳細!$A$2:$A$200"),VALUE(INDIRECT("'" &amp; CONCATENATE($R$9,RIGHTB(REPT("0",2)&amp;$R$10,2)) &amp; "'!A13")),INDIRECT("時間詳細!$C$2:$C$200")),5)=G13,"OK","時間詳細の時間数と不一致です。")))</f>
        <v/>
      </c>
      <c r="O13" s="12">
        <f>0 + IFERROR(MATCH($A13,$Q$13:$Q$20,0)+1, 0)</f>
        <v>0</v>
      </c>
      <c r="P13" s="13" t="str">
        <f>IF(G13&lt;&gt;"", MAX(P$2:P12)+1, "")</f>
        <v/>
      </c>
      <c r="R13" s="15"/>
      <c r="S13" s="16" t="s">
        <v>25</v>
      </c>
      <c r="Y13" s="67" t="e">
        <f t="shared" si="6"/>
        <v>#N/A</v>
      </c>
      <c r="Z13" s="67" t="e">
        <f t="shared" si="7"/>
        <v>#N/A</v>
      </c>
      <c r="AA13" s="66" t="e">
        <f t="shared" si="8"/>
        <v>#N/A</v>
      </c>
      <c r="AH13" s="65">
        <v>0.38541666666666669</v>
      </c>
      <c r="AI13" s="64">
        <f t="shared" si="9"/>
        <v>9.25</v>
      </c>
    </row>
    <row r="14" spans="1:35" ht="27" customHeight="1" thickBot="1" x14ac:dyDescent="0.25">
      <c r="A14" s="4">
        <v>44748</v>
      </c>
      <c r="B14" s="5">
        <f t="shared" si="0"/>
        <v>44748</v>
      </c>
      <c r="C14" s="6"/>
      <c r="D14" s="7"/>
      <c r="E14" s="7"/>
      <c r="F14" s="8" t="str">
        <f t="shared" si="1"/>
        <v/>
      </c>
      <c r="G14" s="68" t="str">
        <f t="shared" si="2"/>
        <v/>
      </c>
      <c r="H14" s="68" t="str">
        <f t="shared" si="3"/>
        <v/>
      </c>
      <c r="I14" s="68" t="str">
        <f t="shared" si="4"/>
        <v/>
      </c>
      <c r="J14" s="64" t="str">
        <f t="shared" si="5"/>
        <v/>
      </c>
      <c r="K14" s="9"/>
      <c r="L14" s="10" t="s">
        <v>177</v>
      </c>
      <c r="M14" s="11"/>
      <c r="N14" s="35" t="str" cm="1">
        <f t="array" aca="1" ref="N14" ca="1">IF(ISERROR(INDIRECT("時間詳細!A1")),"",IF(AND(ISBLANK(C14),NOT(COUNTIF(INDIRECT("時間詳細!$A$2:$A$200"),A14))),"",IF(ROUND(SUMIF(INDIRECT("時間詳細!$A$2:$A$200"),VALUE(INDIRECT("'" &amp; CONCATENATE($R$9,RIGHTB(REPT("0",2)&amp;$R$10,2)) &amp; "'!A14")),INDIRECT("時間詳細!$C$2:$C$200")),5)=G14,"OK","時間詳細の時間数と不一致です。")))</f>
        <v/>
      </c>
      <c r="O14" s="12">
        <f>0 + IFERROR(MATCH($A14,$Q$13:$Q$20,0)+1, 0)</f>
        <v>0</v>
      </c>
      <c r="P14" s="13" t="str">
        <f>IF(G14&lt;&gt;"", MAX(P$2:P13)+1, "")</f>
        <v/>
      </c>
      <c r="R14" s="15"/>
      <c r="S14" s="16" t="s">
        <v>25</v>
      </c>
      <c r="Y14" s="67" t="e">
        <f t="shared" si="6"/>
        <v>#N/A</v>
      </c>
      <c r="Z14" s="67" t="e">
        <f t="shared" si="7"/>
        <v>#N/A</v>
      </c>
      <c r="AA14" s="66" t="e">
        <f t="shared" si="8"/>
        <v>#N/A</v>
      </c>
      <c r="AH14" s="65">
        <v>0.44791666666666669</v>
      </c>
      <c r="AI14" s="64">
        <f t="shared" si="9"/>
        <v>10.75</v>
      </c>
    </row>
    <row r="15" spans="1:35" ht="27" customHeight="1" thickBot="1" x14ac:dyDescent="0.25">
      <c r="A15" s="4">
        <v>44749</v>
      </c>
      <c r="B15" s="5">
        <f t="shared" si="0"/>
        <v>44749</v>
      </c>
      <c r="C15" s="6" t="s">
        <v>176</v>
      </c>
      <c r="D15" s="7">
        <v>0.39583333333333331</v>
      </c>
      <c r="E15" s="7">
        <v>0.77083333333333337</v>
      </c>
      <c r="F15" s="8">
        <f t="shared" si="1"/>
        <v>0.99999999999999911</v>
      </c>
      <c r="G15" s="68">
        <f t="shared" si="2"/>
        <v>8</v>
      </c>
      <c r="H15" s="68">
        <f t="shared" si="3"/>
        <v>0</v>
      </c>
      <c r="I15" s="68">
        <f t="shared" si="4"/>
        <v>0</v>
      </c>
      <c r="J15" s="64">
        <f t="shared" si="5"/>
        <v>0</v>
      </c>
      <c r="K15" s="9"/>
      <c r="L15" s="10"/>
      <c r="M15" s="11" t="s">
        <v>179</v>
      </c>
      <c r="N15" s="35" t="str" cm="1">
        <f t="array" aca="1" ref="N15" ca="1">IF(ISERROR(INDIRECT("時間詳細!A1")),"",IF(AND(ISBLANK(C15),NOT(COUNTIF(INDIRECT("時間詳細!$A$2:$A$200"),A15))),"",IF(ROUND(SUMIF(INDIRECT("時間詳細!$A$2:$A$200"),VALUE(INDIRECT("'" &amp; CONCATENATE($R$9,RIGHTB(REPT("0",2)&amp;$R$10,2)) &amp; "'!A15")),INDIRECT("時間詳細!$C$2:$C$200")),5)=G15,"OK","時間詳細の時間数と不一致です。")))</f>
        <v>OK</v>
      </c>
      <c r="O15" s="12">
        <f>0 + IFERROR(MATCH($A15,$Q$13:$Q$20,0)+1, 0)</f>
        <v>0</v>
      </c>
      <c r="P15" s="13">
        <f>IF(G15&lt;&gt;"", MAX(P$2:P14)+1, "")</f>
        <v>1</v>
      </c>
      <c r="R15" s="15"/>
      <c r="S15" s="16" t="s">
        <v>25</v>
      </c>
      <c r="Y15" s="67">
        <f t="shared" si="6"/>
        <v>0.39583333333333331</v>
      </c>
      <c r="Z15" s="67">
        <f t="shared" si="7"/>
        <v>0.77083333333333337</v>
      </c>
      <c r="AA15" s="66">
        <f t="shared" si="8"/>
        <v>8.0000000000000018</v>
      </c>
      <c r="AH15" s="65"/>
      <c r="AI15" s="64" t="str">
        <f t="shared" si="9"/>
        <v/>
      </c>
    </row>
    <row r="16" spans="1:35" ht="27" customHeight="1" thickBot="1" x14ac:dyDescent="0.25">
      <c r="A16" s="4">
        <v>44750</v>
      </c>
      <c r="B16" s="5">
        <f t="shared" si="0"/>
        <v>44750</v>
      </c>
      <c r="C16" s="6"/>
      <c r="D16" s="7"/>
      <c r="E16" s="7"/>
      <c r="F16" s="8" t="str">
        <f t="shared" si="1"/>
        <v/>
      </c>
      <c r="G16" s="68" t="str">
        <f t="shared" si="2"/>
        <v/>
      </c>
      <c r="H16" s="68" t="str">
        <f t="shared" si="3"/>
        <v/>
      </c>
      <c r="I16" s="68" t="str">
        <f t="shared" si="4"/>
        <v/>
      </c>
      <c r="J16" s="64" t="str">
        <f t="shared" si="5"/>
        <v/>
      </c>
      <c r="K16" s="9"/>
      <c r="L16" s="10" t="s">
        <v>178</v>
      </c>
      <c r="M16" s="11" t="s">
        <v>180</v>
      </c>
      <c r="N16" s="35" t="str" cm="1">
        <f t="array" aca="1" ref="N16" ca="1">IF(ISERROR(INDIRECT("時間詳細!A1")),"",IF(AND(ISBLANK(C16),NOT(COUNTIF(INDIRECT("時間詳細!$A$2:$A$200"),A16))),"",IF(ROUND(SUMIF(INDIRECT("時間詳細!$A$2:$A$200"),VALUE(INDIRECT("'" &amp; CONCATENATE($R$9,RIGHTB(REPT("0",2)&amp;$R$10,2)) &amp; "'!A16")),INDIRECT("時間詳細!$C$2:$C$200")),5)=G16,"OK","時間詳細の時間数と不一致です。")))</f>
        <v/>
      </c>
      <c r="O16" s="12">
        <f>0 + IFERROR(MATCH($A16,$Q$13:$Q$20,0)+1, 0)</f>
        <v>0</v>
      </c>
      <c r="P16" s="13" t="str">
        <f>IF(G16&lt;&gt;"", MAX(P$2:P15)+1, "")</f>
        <v/>
      </c>
      <c r="R16" s="15"/>
      <c r="S16" s="16" t="s">
        <v>25</v>
      </c>
      <c r="Y16" s="67" t="e">
        <f t="shared" si="6"/>
        <v>#N/A</v>
      </c>
      <c r="Z16" s="67" t="e">
        <f t="shared" si="7"/>
        <v>#N/A</v>
      </c>
      <c r="AA16" s="66" t="e">
        <f t="shared" si="8"/>
        <v>#N/A</v>
      </c>
      <c r="AH16" s="65">
        <v>0.38541666666666669</v>
      </c>
      <c r="AI16" s="64">
        <f t="shared" si="9"/>
        <v>9.25</v>
      </c>
    </row>
    <row r="17" spans="1:35" ht="27" customHeight="1" thickBot="1" x14ac:dyDescent="0.25">
      <c r="A17" s="4">
        <v>44751</v>
      </c>
      <c r="B17" s="5">
        <f t="shared" si="0"/>
        <v>44751</v>
      </c>
      <c r="C17" s="6"/>
      <c r="D17" s="7"/>
      <c r="E17" s="7"/>
      <c r="F17" s="8" t="str">
        <f t="shared" si="1"/>
        <v/>
      </c>
      <c r="G17" s="68" t="str">
        <f t="shared" si="2"/>
        <v/>
      </c>
      <c r="H17" s="68" t="str">
        <f t="shared" si="3"/>
        <v/>
      </c>
      <c r="I17" s="68" t="str">
        <f t="shared" si="4"/>
        <v/>
      </c>
      <c r="J17" s="64" t="str">
        <f t="shared" si="5"/>
        <v/>
      </c>
      <c r="K17" s="9"/>
      <c r="L17" s="10"/>
      <c r="M17" s="11"/>
      <c r="N17" s="35" t="str" cm="1">
        <f t="array" aca="1" ref="N17" ca="1">IF(ISERROR(INDIRECT("時間詳細!A1")),"",IF(AND(ISBLANK(C17),NOT(COUNTIF(INDIRECT("時間詳細!$A$2:$A$200"),A17))),"",IF(ROUND(SUMIF(INDIRECT("時間詳細!$A$2:$A$200"),VALUE(INDIRECT("'" &amp; CONCATENATE($R$9,RIGHTB(REPT("0",2)&amp;$R$10,2)) &amp; "'!A17")),INDIRECT("時間詳細!$C$2:$C$200")),5)=G17,"OK","時間詳細の時間数と不一致です。")))</f>
        <v/>
      </c>
      <c r="O17" s="12">
        <f>1 + IFERROR(MATCH($A17,$Q$13:$Q$20,0)+1, 0)</f>
        <v>1</v>
      </c>
      <c r="P17" s="13" t="str">
        <f>IF(G17&lt;&gt;"", MAX(P$2:P16)+1, "")</f>
        <v/>
      </c>
      <c r="R17" s="15"/>
      <c r="S17" s="16" t="s">
        <v>25</v>
      </c>
      <c r="Y17" s="67" t="e">
        <f t="shared" si="6"/>
        <v>#N/A</v>
      </c>
      <c r="Z17" s="67" t="e">
        <f t="shared" si="7"/>
        <v>#N/A</v>
      </c>
      <c r="AA17" s="66" t="e">
        <f t="shared" si="8"/>
        <v>#N/A</v>
      </c>
      <c r="AH17" s="65">
        <v>0.41319444444444442</v>
      </c>
      <c r="AI17" s="64">
        <f t="shared" si="9"/>
        <v>9.9166666666666661</v>
      </c>
    </row>
    <row r="18" spans="1:35" ht="27" customHeight="1" thickBot="1" x14ac:dyDescent="0.25">
      <c r="A18" s="4">
        <v>44752</v>
      </c>
      <c r="B18" s="5">
        <f t="shared" si="0"/>
        <v>44752</v>
      </c>
      <c r="C18" s="6"/>
      <c r="D18" s="7"/>
      <c r="E18" s="7"/>
      <c r="F18" s="8" t="str">
        <f t="shared" si="1"/>
        <v/>
      </c>
      <c r="G18" s="68" t="str">
        <f t="shared" si="2"/>
        <v/>
      </c>
      <c r="H18" s="68" t="str">
        <f t="shared" si="3"/>
        <v/>
      </c>
      <c r="I18" s="68" t="str">
        <f t="shared" si="4"/>
        <v/>
      </c>
      <c r="J18" s="64" t="str">
        <f t="shared" si="5"/>
        <v/>
      </c>
      <c r="K18" s="9"/>
      <c r="L18" s="10"/>
      <c r="M18" s="11"/>
      <c r="N18" s="35" t="str" cm="1">
        <f t="array" aca="1" ref="N18" ca="1">IF(ISERROR(INDIRECT("時間詳細!A1")),"",IF(AND(ISBLANK(C18),NOT(COUNTIF(INDIRECT("時間詳細!$A$2:$A$200"),A18))),"",IF(ROUND(SUMIF(INDIRECT("時間詳細!$A$2:$A$200"),VALUE(INDIRECT("'" &amp; CONCATENATE($R$9,RIGHTB(REPT("0",2)&amp;$R$10,2)) &amp; "'!A18")),INDIRECT("時間詳細!$C$2:$C$200")),5)=G18,"OK","時間詳細の時間数と不一致です。")))</f>
        <v/>
      </c>
      <c r="O18" s="12">
        <f>1 + IFERROR(MATCH($A18,$Q$13:$Q$20,0)+1, 0)</f>
        <v>1</v>
      </c>
      <c r="P18" s="13" t="str">
        <f>IF(G18&lt;&gt;"", MAX(P$2:P17)+1, "")</f>
        <v/>
      </c>
      <c r="R18" s="15"/>
      <c r="S18" s="16" t="s">
        <v>25</v>
      </c>
      <c r="Y18" s="67" t="e">
        <f t="shared" si="6"/>
        <v>#N/A</v>
      </c>
      <c r="Z18" s="67" t="e">
        <f t="shared" si="7"/>
        <v>#N/A</v>
      </c>
      <c r="AA18" s="66" t="e">
        <f t="shared" si="8"/>
        <v>#N/A</v>
      </c>
      <c r="AH18" s="65">
        <v>0.40625</v>
      </c>
      <c r="AI18" s="64">
        <f t="shared" si="9"/>
        <v>9.75</v>
      </c>
    </row>
    <row r="19" spans="1:35" ht="27" customHeight="1" thickBot="1" x14ac:dyDescent="0.25">
      <c r="A19" s="4">
        <v>44753</v>
      </c>
      <c r="B19" s="5">
        <f t="shared" si="0"/>
        <v>44753</v>
      </c>
      <c r="C19" s="6" t="s">
        <v>172</v>
      </c>
      <c r="D19" s="7">
        <v>0.375</v>
      </c>
      <c r="E19" s="7">
        <v>0.72916666666666663</v>
      </c>
      <c r="F19" s="8">
        <f t="shared" si="1"/>
        <v>0.75</v>
      </c>
      <c r="G19" s="68">
        <f t="shared" si="2"/>
        <v>7.75</v>
      </c>
      <c r="H19" s="68">
        <f t="shared" si="3"/>
        <v>0</v>
      </c>
      <c r="I19" s="68">
        <f t="shared" si="4"/>
        <v>0</v>
      </c>
      <c r="J19" s="64">
        <f t="shared" si="5"/>
        <v>0</v>
      </c>
      <c r="K19" s="9"/>
      <c r="L19" s="10"/>
      <c r="M19" s="11"/>
      <c r="N19" s="35" t="str" cm="1">
        <f t="array" aca="1" ref="N19" ca="1">IF(ISERROR(INDIRECT("時間詳細!A1")),"",IF(AND(ISBLANK(C19),NOT(COUNTIF(INDIRECT("時間詳細!$A$2:$A$200"),A19))),"",IF(ROUND(SUMIF(INDIRECT("時間詳細!$A$2:$A$200"),VALUE(INDIRECT("'" &amp; CONCATENATE($R$9,RIGHTB(REPT("0",2)&amp;$R$10,2)) &amp; "'!A19")),INDIRECT("時間詳細!$C$2:$C$200")),5)=G19,"OK","時間詳細の時間数と不一致です。")))</f>
        <v>OK</v>
      </c>
      <c r="O19" s="12">
        <f>0 + IFERROR(MATCH($A19,$Q$13:$Q$20,0)+1, 0)</f>
        <v>0</v>
      </c>
      <c r="P19" s="13">
        <f>IF(G19&lt;&gt;"", MAX(P$2:P18)+1, "")</f>
        <v>2</v>
      </c>
      <c r="R19" s="14"/>
      <c r="S19" s="16" t="s">
        <v>25</v>
      </c>
      <c r="Y19" s="67">
        <f t="shared" si="6"/>
        <v>0.375</v>
      </c>
      <c r="Z19" s="67">
        <f t="shared" si="7"/>
        <v>0.72916666666666663</v>
      </c>
      <c r="AA19" s="66">
        <f t="shared" si="8"/>
        <v>7.7499999999999991</v>
      </c>
      <c r="AH19" s="65">
        <v>0.44791666666666669</v>
      </c>
      <c r="AI19" s="64">
        <f t="shared" si="9"/>
        <v>10.75</v>
      </c>
    </row>
    <row r="20" spans="1:35" ht="27" customHeight="1" thickBot="1" x14ac:dyDescent="0.25">
      <c r="A20" s="4">
        <v>44754</v>
      </c>
      <c r="B20" s="5">
        <f t="shared" si="0"/>
        <v>44754</v>
      </c>
      <c r="C20" s="6" t="s">
        <v>172</v>
      </c>
      <c r="D20" s="7">
        <v>0.375</v>
      </c>
      <c r="E20" s="7">
        <v>0.72916666666666663</v>
      </c>
      <c r="F20" s="8">
        <f t="shared" si="1"/>
        <v>0.75</v>
      </c>
      <c r="G20" s="68">
        <f t="shared" si="2"/>
        <v>7.75</v>
      </c>
      <c r="H20" s="68">
        <f t="shared" si="3"/>
        <v>0</v>
      </c>
      <c r="I20" s="68">
        <f t="shared" si="4"/>
        <v>0</v>
      </c>
      <c r="J20" s="64">
        <f t="shared" si="5"/>
        <v>0</v>
      </c>
      <c r="K20" s="9"/>
      <c r="L20" s="10"/>
      <c r="M20" s="11"/>
      <c r="N20" s="35" t="str" cm="1">
        <f t="array" aca="1" ref="N20" ca="1">IF(ISERROR(INDIRECT("時間詳細!A1")),"",IF(AND(ISBLANK(C20),NOT(COUNTIF(INDIRECT("時間詳細!$A$2:$A$200"),A20))),"",IF(ROUND(SUMIF(INDIRECT("時間詳細!$A$2:$A$200"),VALUE(INDIRECT("'" &amp; CONCATENATE($R$9,RIGHTB(REPT("0",2)&amp;$R$10,2)) &amp; "'!A20")),INDIRECT("時間詳細!$C$2:$C$200")),5)=G20,"OK","時間詳細の時間数と不一致です。")))</f>
        <v>OK</v>
      </c>
      <c r="O20" s="12">
        <f>0 + IFERROR(MATCH($A20,$Q$13:$Q$20,0)+1, 0)</f>
        <v>0</v>
      </c>
      <c r="P20" s="13">
        <f>IF(G20&lt;&gt;"", MAX(P$2:P19)+1, "")</f>
        <v>3</v>
      </c>
      <c r="R20" s="15"/>
      <c r="S20" s="16" t="s">
        <v>25</v>
      </c>
      <c r="Y20" s="67">
        <f t="shared" si="6"/>
        <v>0.375</v>
      </c>
      <c r="Z20" s="67">
        <f t="shared" si="7"/>
        <v>0.72916666666666663</v>
      </c>
      <c r="AA20" s="66">
        <f t="shared" si="8"/>
        <v>7.7499999999999991</v>
      </c>
      <c r="AH20" s="65">
        <v>0.46875</v>
      </c>
      <c r="AI20" s="64">
        <f t="shared" si="9"/>
        <v>11.25</v>
      </c>
    </row>
    <row r="21" spans="1:35" ht="27" customHeight="1" x14ac:dyDescent="0.2">
      <c r="A21" s="4">
        <v>44755</v>
      </c>
      <c r="B21" s="5">
        <f t="shared" si="0"/>
        <v>44755</v>
      </c>
      <c r="C21" s="6" t="s">
        <v>172</v>
      </c>
      <c r="D21" s="7">
        <v>0.375</v>
      </c>
      <c r="E21" s="7">
        <v>0.72916666666666696</v>
      </c>
      <c r="F21" s="8">
        <f t="shared" si="1"/>
        <v>0.75</v>
      </c>
      <c r="G21" s="68">
        <f t="shared" si="2"/>
        <v>7.75</v>
      </c>
      <c r="H21" s="68">
        <f t="shared" si="3"/>
        <v>0</v>
      </c>
      <c r="I21" s="68">
        <f t="shared" si="4"/>
        <v>0</v>
      </c>
      <c r="J21" s="64">
        <f t="shared" si="5"/>
        <v>0</v>
      </c>
      <c r="K21" s="9"/>
      <c r="L21" s="10"/>
      <c r="M21" s="11"/>
      <c r="N21" s="35" t="str" cm="1">
        <f t="array" aca="1" ref="N21" ca="1">IF(ISERROR(INDIRECT("時間詳細!A1")),"",IF(AND(ISBLANK(C21),NOT(COUNTIF(INDIRECT("時間詳細!$A$2:$A$200"),A21))),"",IF(ROUND(SUMIF(INDIRECT("時間詳細!$A$2:$A$200"),VALUE(INDIRECT("'" &amp; CONCATENATE($R$9,RIGHTB(REPT("0",2)&amp;$R$10,2)) &amp; "'!A21")),INDIRECT("時間詳細!$C$2:$C$200")),5)=G21,"OK","時間詳細の時間数と不一致です。")))</f>
        <v>OK</v>
      </c>
      <c r="O21" s="12">
        <f>0 + IFERROR(MATCH($A21,$Q$13:$Q$20,0)+1, 0)</f>
        <v>0</v>
      </c>
      <c r="P21" s="13">
        <f>IF(G21&lt;&gt;"", MAX(P$2:P20)+1, "")</f>
        <v>4</v>
      </c>
      <c r="Y21" s="67">
        <f t="shared" si="6"/>
        <v>0.375</v>
      </c>
      <c r="Z21" s="67">
        <f t="shared" si="7"/>
        <v>0.72916666666666663</v>
      </c>
      <c r="AA21" s="66">
        <f t="shared" si="8"/>
        <v>7.7499999999999991</v>
      </c>
      <c r="AH21" s="65">
        <v>0.55208333333333337</v>
      </c>
      <c r="AI21" s="64">
        <f t="shared" si="9"/>
        <v>13.25</v>
      </c>
    </row>
    <row r="22" spans="1:35" ht="27" customHeight="1" x14ac:dyDescent="0.2">
      <c r="A22" s="4">
        <v>44756</v>
      </c>
      <c r="B22" s="5">
        <f t="shared" si="0"/>
        <v>44756</v>
      </c>
      <c r="C22" s="6" t="s">
        <v>172</v>
      </c>
      <c r="D22" s="7">
        <v>0.375</v>
      </c>
      <c r="E22" s="7">
        <v>0.72916666666666696</v>
      </c>
      <c r="F22" s="8">
        <f t="shared" si="1"/>
        <v>0.75</v>
      </c>
      <c r="G22" s="68">
        <f t="shared" si="2"/>
        <v>7.75</v>
      </c>
      <c r="H22" s="68">
        <f t="shared" si="3"/>
        <v>0</v>
      </c>
      <c r="I22" s="68">
        <f t="shared" si="4"/>
        <v>0</v>
      </c>
      <c r="J22" s="64">
        <f t="shared" si="5"/>
        <v>0</v>
      </c>
      <c r="K22" s="9"/>
      <c r="L22" s="10"/>
      <c r="M22" s="11"/>
      <c r="N22" s="35" t="str" cm="1">
        <f t="array" aca="1" ref="N22" ca="1">IF(ISERROR(INDIRECT("時間詳細!A1")),"",IF(AND(ISBLANK(C22),NOT(COUNTIF(INDIRECT("時間詳細!$A$2:$A$200"),A22))),"",IF(ROUND(SUMIF(INDIRECT("時間詳細!$A$2:$A$200"),VALUE(INDIRECT("'" &amp; CONCATENATE($R$9,RIGHTB(REPT("0",2)&amp;$R$10,2)) &amp; "'!A22")),INDIRECT("時間詳細!$C$2:$C$200")),5)=G22,"OK","時間詳細の時間数と不一致です。")))</f>
        <v>OK</v>
      </c>
      <c r="O22" s="12">
        <f>0 + IFERROR(MATCH($A22,$Q$13:$Q$20,0)+1, 0)</f>
        <v>0</v>
      </c>
      <c r="P22" s="13">
        <f>IF(G22&lt;&gt;"", MAX(P$2:P21)+1, "")</f>
        <v>5</v>
      </c>
      <c r="Y22" s="67">
        <f t="shared" si="6"/>
        <v>0.375</v>
      </c>
      <c r="Z22" s="67">
        <f t="shared" si="7"/>
        <v>0.72916666666666663</v>
      </c>
      <c r="AA22" s="66">
        <f t="shared" si="8"/>
        <v>7.7499999999999991</v>
      </c>
      <c r="AH22" s="65"/>
      <c r="AI22" s="64" t="str">
        <f t="shared" si="9"/>
        <v/>
      </c>
    </row>
    <row r="23" spans="1:35" ht="27" customHeight="1" thickBot="1" x14ac:dyDescent="0.25">
      <c r="A23" s="4">
        <v>44757</v>
      </c>
      <c r="B23" s="5">
        <f t="shared" si="0"/>
        <v>44757</v>
      </c>
      <c r="C23" s="6" t="s">
        <v>172</v>
      </c>
      <c r="D23" s="7">
        <v>0.375</v>
      </c>
      <c r="E23" s="7">
        <v>0.72916666666666696</v>
      </c>
      <c r="F23" s="8">
        <f t="shared" si="1"/>
        <v>0.75</v>
      </c>
      <c r="G23" s="68">
        <f t="shared" si="2"/>
        <v>7.75</v>
      </c>
      <c r="H23" s="68">
        <f t="shared" si="3"/>
        <v>0</v>
      </c>
      <c r="I23" s="68">
        <f t="shared" si="4"/>
        <v>0</v>
      </c>
      <c r="J23" s="64">
        <f t="shared" si="5"/>
        <v>0</v>
      </c>
      <c r="K23" s="9"/>
      <c r="L23" s="10"/>
      <c r="M23" s="11"/>
      <c r="N23" s="35" t="str" cm="1">
        <f t="array" aca="1" ref="N23" ca="1">IF(ISERROR(INDIRECT("時間詳細!A1")),"",IF(AND(ISBLANK(C23),NOT(COUNTIF(INDIRECT("時間詳細!$A$2:$A$200"),A23))),"",IF(ROUND(SUMIF(INDIRECT("時間詳細!$A$2:$A$200"),VALUE(INDIRECT("'" &amp; CONCATENATE($R$9,RIGHTB(REPT("0",2)&amp;$R$10,2)) &amp; "'!A23")),INDIRECT("時間詳細!$C$2:$C$200")),5)=G23,"OK","時間詳細の時間数と不一致です。")))</f>
        <v>OK</v>
      </c>
      <c r="O23" s="12">
        <f>0 + IFERROR(MATCH($A23,$Q$13:$Q$20,0)+1, 0)</f>
        <v>0</v>
      </c>
      <c r="P23" s="13">
        <f>IF(G23&lt;&gt;"", MAX(P$2:P22)+1, "")</f>
        <v>6</v>
      </c>
      <c r="R23" s="17" t="s">
        <v>26</v>
      </c>
      <c r="S23" s="17" t="s">
        <v>29</v>
      </c>
      <c r="T23" s="17" t="s">
        <v>32</v>
      </c>
      <c r="U23" s="17" t="s">
        <v>31</v>
      </c>
      <c r="V23" s="17" t="s">
        <v>30</v>
      </c>
      <c r="W23" s="17" t="s">
        <v>33</v>
      </c>
      <c r="Y23" s="67">
        <f t="shared" si="6"/>
        <v>0.375</v>
      </c>
      <c r="Z23" s="67">
        <f t="shared" si="7"/>
        <v>0.72916666666666663</v>
      </c>
      <c r="AA23" s="66">
        <f t="shared" si="8"/>
        <v>7.7499999999999991</v>
      </c>
      <c r="AH23" s="65"/>
      <c r="AI23" s="64" t="str">
        <f t="shared" si="9"/>
        <v/>
      </c>
    </row>
    <row r="24" spans="1:35" ht="27" customHeight="1" thickBot="1" x14ac:dyDescent="0.25">
      <c r="A24" s="4">
        <v>44758</v>
      </c>
      <c r="B24" s="5">
        <f t="shared" si="0"/>
        <v>44758</v>
      </c>
      <c r="C24" s="6"/>
      <c r="D24" s="7"/>
      <c r="E24" s="7"/>
      <c r="F24" s="8" t="str">
        <f t="shared" si="1"/>
        <v/>
      </c>
      <c r="G24" s="68" t="str">
        <f t="shared" si="2"/>
        <v/>
      </c>
      <c r="H24" s="68" t="str">
        <f t="shared" si="3"/>
        <v/>
      </c>
      <c r="I24" s="68" t="str">
        <f t="shared" si="4"/>
        <v/>
      </c>
      <c r="J24" s="64" t="str">
        <f t="shared" si="5"/>
        <v/>
      </c>
      <c r="K24" s="9"/>
      <c r="L24" s="10"/>
      <c r="M24" s="11"/>
      <c r="N24" s="35" t="str" cm="1">
        <f t="array" aca="1" ref="N24" ca="1">IF(ISERROR(INDIRECT("時間詳細!A1")),"",IF(AND(ISBLANK(C24),NOT(COUNTIF(INDIRECT("時間詳細!$A$2:$A$200"),A24))),"",IF(ROUND(SUMIF(INDIRECT("時間詳細!$A$2:$A$200"),VALUE(INDIRECT("'" &amp; CONCATENATE($R$9,RIGHTB(REPT("0",2)&amp;$R$10,2)) &amp; "'!A24")),INDIRECT("時間詳細!$C$2:$C$200")),5)=G24,"OK","時間詳細の時間数と不一致です。")))</f>
        <v/>
      </c>
      <c r="O24" s="12">
        <f>1 + IFERROR(MATCH($A24,$Q$13:$Q$20,0)+1, 0)</f>
        <v>1</v>
      </c>
      <c r="P24" s="13" t="str">
        <f>IF(G24&lt;&gt;"", MAX(P$2:P23)+1, "")</f>
        <v/>
      </c>
      <c r="R24" s="18" t="s">
        <v>173</v>
      </c>
      <c r="S24" s="19">
        <v>0.39583333333333331</v>
      </c>
      <c r="T24" s="20">
        <v>0.77083333333333337</v>
      </c>
      <c r="U24" s="19">
        <v>0.5</v>
      </c>
      <c r="V24" s="19">
        <v>0.54166666666666663</v>
      </c>
      <c r="W24" s="21">
        <v>8.0000000000000018</v>
      </c>
      <c r="Y24" s="67" t="e">
        <f t="shared" si="6"/>
        <v>#N/A</v>
      </c>
      <c r="Z24" s="67" t="e">
        <f t="shared" si="7"/>
        <v>#N/A</v>
      </c>
      <c r="AA24" s="66" t="e">
        <f t="shared" si="8"/>
        <v>#N/A</v>
      </c>
      <c r="AH24" s="65">
        <v>0.51041666666666663</v>
      </c>
      <c r="AI24" s="64">
        <f t="shared" si="9"/>
        <v>12.25</v>
      </c>
    </row>
    <row r="25" spans="1:35" ht="27" customHeight="1" thickBot="1" x14ac:dyDescent="0.25">
      <c r="A25" s="4">
        <v>44759</v>
      </c>
      <c r="B25" s="5">
        <f t="shared" si="0"/>
        <v>44759</v>
      </c>
      <c r="C25" s="6"/>
      <c r="D25" s="7"/>
      <c r="E25" s="7"/>
      <c r="F25" s="8" t="str">
        <f t="shared" si="1"/>
        <v/>
      </c>
      <c r="G25" s="68" t="str">
        <f t="shared" si="2"/>
        <v/>
      </c>
      <c r="H25" s="68" t="str">
        <f t="shared" si="3"/>
        <v/>
      </c>
      <c r="I25" s="68" t="str">
        <f t="shared" si="4"/>
        <v/>
      </c>
      <c r="J25" s="64" t="str">
        <f t="shared" si="5"/>
        <v/>
      </c>
      <c r="K25" s="9"/>
      <c r="L25" s="10"/>
      <c r="M25" s="11"/>
      <c r="N25" s="35" t="str" cm="1">
        <f t="array" aca="1" ref="N25" ca="1">IF(ISERROR(INDIRECT("時間詳細!A1")),"",IF(AND(ISBLANK(C25),NOT(COUNTIF(INDIRECT("時間詳細!$A$2:$A$200"),A25))),"",IF(ROUND(SUMIF(INDIRECT("時間詳細!$A$2:$A$200"),VALUE(INDIRECT("'" &amp; CONCATENATE($R$9,RIGHTB(REPT("0",2)&amp;$R$10,2)) &amp; "'!A25")),INDIRECT("時間詳細!$C$2:$C$200")),5)=G25,"OK","時間詳細の時間数と不一致です。")))</f>
        <v/>
      </c>
      <c r="O25" s="12">
        <f>1 + IFERROR(MATCH($A25,$Q$13:$Q$20,0)+1, 0)</f>
        <v>1</v>
      </c>
      <c r="P25" s="13" t="str">
        <f>IF(G25&lt;&gt;"", MAX(P$2:P24)+1, "")</f>
        <v/>
      </c>
      <c r="R25" s="69" t="s">
        <v>172</v>
      </c>
      <c r="S25" s="19">
        <v>0.375</v>
      </c>
      <c r="T25" s="20">
        <v>0.72916666666666663</v>
      </c>
      <c r="U25" s="19">
        <v>0.5</v>
      </c>
      <c r="V25" s="19">
        <v>0.53125</v>
      </c>
      <c r="W25" s="21">
        <v>7.7499999999999991</v>
      </c>
      <c r="Y25" s="67" t="e">
        <f t="shared" si="6"/>
        <v>#N/A</v>
      </c>
      <c r="Z25" s="67" t="e">
        <f t="shared" si="7"/>
        <v>#N/A</v>
      </c>
      <c r="AA25" s="66" t="e">
        <f t="shared" si="8"/>
        <v>#N/A</v>
      </c>
      <c r="AH25" s="65">
        <v>0.39930555555555558</v>
      </c>
      <c r="AI25" s="64">
        <f t="shared" si="9"/>
        <v>9.5833333333333339</v>
      </c>
    </row>
    <row r="26" spans="1:35" ht="27" customHeight="1" thickBot="1" x14ac:dyDescent="0.25">
      <c r="A26" s="4">
        <v>44760</v>
      </c>
      <c r="B26" s="5">
        <f t="shared" si="0"/>
        <v>44760</v>
      </c>
      <c r="C26" s="6"/>
      <c r="D26" s="7"/>
      <c r="E26" s="7"/>
      <c r="F26" s="8" t="str">
        <f t="shared" si="1"/>
        <v/>
      </c>
      <c r="G26" s="68" t="str">
        <f t="shared" si="2"/>
        <v/>
      </c>
      <c r="H26" s="68" t="str">
        <f t="shared" si="3"/>
        <v/>
      </c>
      <c r="I26" s="68" t="str">
        <f t="shared" si="4"/>
        <v/>
      </c>
      <c r="J26" s="64" t="str">
        <f t="shared" si="5"/>
        <v/>
      </c>
      <c r="K26" s="9"/>
      <c r="L26" s="10"/>
      <c r="M26" s="11"/>
      <c r="N26" s="35" t="str" cm="1">
        <f t="array" aca="1" ref="N26" ca="1">IF(ISERROR(INDIRECT("時間詳細!A1")),"",IF(AND(ISBLANK(C26),NOT(COUNTIF(INDIRECT("時間詳細!$A$2:$A$200"),A26))),"",IF(ROUND(SUMIF(INDIRECT("時間詳細!$A$2:$A$200"),VALUE(INDIRECT("'" &amp; CONCATENATE($R$9,RIGHTB(REPT("0",2)&amp;$R$10,2)) &amp; "'!A26")),INDIRECT("時間詳細!$C$2:$C$200")),5)=G26,"OK","時間詳細の時間数と不一致です。")))</f>
        <v/>
      </c>
      <c r="O26" s="12">
        <f>32 + IFERROR(MATCH($A26,$Q$13:$Q$20,0)+1, 0)</f>
        <v>32</v>
      </c>
      <c r="P26" s="13" t="str">
        <f>IF(G26&lt;&gt;"", MAX(P$2:P25)+1, "")</f>
        <v/>
      </c>
      <c r="R26" s="69"/>
      <c r="S26" s="20"/>
      <c r="T26" s="20"/>
      <c r="U26" s="19"/>
      <c r="V26" s="19"/>
      <c r="W26" s="21" t="s">
        <v>171</v>
      </c>
      <c r="Y26" s="67" t="e">
        <f t="shared" si="6"/>
        <v>#N/A</v>
      </c>
      <c r="Z26" s="67" t="e">
        <f t="shared" si="7"/>
        <v>#N/A</v>
      </c>
      <c r="AA26" s="66" t="e">
        <f t="shared" si="8"/>
        <v>#N/A</v>
      </c>
      <c r="AH26" s="65">
        <v>0.55208333333333337</v>
      </c>
      <c r="AI26" s="64">
        <f t="shared" si="9"/>
        <v>13.25</v>
      </c>
    </row>
    <row r="27" spans="1:35" ht="27" customHeight="1" thickBot="1" x14ac:dyDescent="0.25">
      <c r="A27" s="4">
        <v>44761</v>
      </c>
      <c r="B27" s="5">
        <f t="shared" si="0"/>
        <v>44761</v>
      </c>
      <c r="C27" s="6" t="s">
        <v>172</v>
      </c>
      <c r="D27" s="7">
        <v>0.375</v>
      </c>
      <c r="E27" s="7">
        <v>0.72916666666666663</v>
      </c>
      <c r="F27" s="8">
        <f t="shared" si="1"/>
        <v>0.75</v>
      </c>
      <c r="G27" s="68">
        <f t="shared" si="2"/>
        <v>7.75</v>
      </c>
      <c r="H27" s="68">
        <f t="shared" si="3"/>
        <v>0</v>
      </c>
      <c r="I27" s="68">
        <f t="shared" si="4"/>
        <v>0</v>
      </c>
      <c r="J27" s="64">
        <f t="shared" si="5"/>
        <v>0</v>
      </c>
      <c r="K27" s="9"/>
      <c r="L27" s="10"/>
      <c r="M27" s="11"/>
      <c r="N27" s="35" t="str" cm="1">
        <f t="array" aca="1" ref="N27" ca="1">IF(ISERROR(INDIRECT("時間詳細!A1")),"",IF(AND(ISBLANK(C27),NOT(COUNTIF(INDIRECT("時間詳細!$A$2:$A$200"),A27))),"",IF(ROUND(SUMIF(INDIRECT("時間詳細!$A$2:$A$200"),VALUE(INDIRECT("'" &amp; CONCATENATE($R$9,RIGHTB(REPT("0",2)&amp;$R$10,2)) &amp; "'!A27")),INDIRECT("時間詳細!$C$2:$C$200")),5)=G27,"OK","時間詳細の時間数と不一致です。")))</f>
        <v>OK</v>
      </c>
      <c r="O27" s="12">
        <f>0 + IFERROR(MATCH($A27,$Q$13:$Q$20,0)+1, 0)</f>
        <v>0</v>
      </c>
      <c r="P27" s="13">
        <f>IF(G27&lt;&gt;"", MAX(P$2:P26)+1, "")</f>
        <v>7</v>
      </c>
      <c r="R27" s="69"/>
      <c r="S27" s="20"/>
      <c r="T27" s="20"/>
      <c r="U27" s="19"/>
      <c r="V27" s="19"/>
      <c r="W27" s="21" t="s">
        <v>171</v>
      </c>
      <c r="Y27" s="67">
        <f t="shared" si="6"/>
        <v>0.375</v>
      </c>
      <c r="Z27" s="67">
        <f t="shared" si="7"/>
        <v>0.72916666666666663</v>
      </c>
      <c r="AA27" s="66">
        <f t="shared" si="8"/>
        <v>7.7499999999999991</v>
      </c>
      <c r="AH27" s="65">
        <v>0.55208333333333337</v>
      </c>
      <c r="AI27" s="64">
        <f t="shared" si="9"/>
        <v>13.25</v>
      </c>
    </row>
    <row r="28" spans="1:35" ht="27" customHeight="1" thickBot="1" x14ac:dyDescent="0.25">
      <c r="A28" s="4">
        <v>44762</v>
      </c>
      <c r="B28" s="5">
        <f t="shared" si="0"/>
        <v>44762</v>
      </c>
      <c r="C28" s="6" t="s">
        <v>172</v>
      </c>
      <c r="D28" s="7">
        <v>0.375</v>
      </c>
      <c r="E28" s="7">
        <v>0.72916666666666663</v>
      </c>
      <c r="F28" s="8">
        <f t="shared" si="1"/>
        <v>0.75</v>
      </c>
      <c r="G28" s="68">
        <f t="shared" si="2"/>
        <v>7.75</v>
      </c>
      <c r="H28" s="68">
        <f t="shared" si="3"/>
        <v>0</v>
      </c>
      <c r="I28" s="68">
        <f t="shared" si="4"/>
        <v>0</v>
      </c>
      <c r="J28" s="64">
        <f t="shared" si="5"/>
        <v>0</v>
      </c>
      <c r="K28" s="9"/>
      <c r="L28" s="10"/>
      <c r="M28" s="11"/>
      <c r="N28" s="35" t="str" cm="1">
        <f t="array" aca="1" ref="N28" ca="1">IF(ISERROR(INDIRECT("時間詳細!A1")),"",IF(AND(ISBLANK(C28),NOT(COUNTIF(INDIRECT("時間詳細!$A$2:$A$200"),A28))),"",IF(ROUND(SUMIF(INDIRECT("時間詳細!$A$2:$A$200"),VALUE(INDIRECT("'" &amp; CONCATENATE($R$9,RIGHTB(REPT("0",2)&amp;$R$10,2)) &amp; "'!A28")),INDIRECT("時間詳細!$C$2:$C$200")),5)=G28,"OK","時間詳細の時間数と不一致です。")))</f>
        <v>OK</v>
      </c>
      <c r="O28" s="12">
        <f>0 + IFERROR(MATCH($A28,$Q$13:$Q$20,0)+1, 0)</f>
        <v>0</v>
      </c>
      <c r="P28" s="13">
        <f>IF(G28&lt;&gt;"", MAX(P$2:P27)+1, "")</f>
        <v>8</v>
      </c>
      <c r="R28" s="69"/>
      <c r="S28" s="20"/>
      <c r="T28" s="20"/>
      <c r="U28" s="19"/>
      <c r="V28" s="19"/>
      <c r="W28" s="21" t="s">
        <v>171</v>
      </c>
      <c r="Y28" s="67">
        <f t="shared" si="6"/>
        <v>0.375</v>
      </c>
      <c r="Z28" s="67">
        <f t="shared" si="7"/>
        <v>0.72916666666666663</v>
      </c>
      <c r="AA28" s="66">
        <f t="shared" si="8"/>
        <v>7.7499999999999991</v>
      </c>
      <c r="AH28" s="65"/>
      <c r="AI28" s="64" t="str">
        <f t="shared" si="9"/>
        <v/>
      </c>
    </row>
    <row r="29" spans="1:35" ht="27" customHeight="1" thickBot="1" x14ac:dyDescent="0.25">
      <c r="A29" s="4">
        <v>44763</v>
      </c>
      <c r="B29" s="5">
        <f t="shared" si="0"/>
        <v>44763</v>
      </c>
      <c r="C29" s="6" t="s">
        <v>172</v>
      </c>
      <c r="D29" s="7">
        <v>0.375</v>
      </c>
      <c r="E29" s="7">
        <v>0.72916666666666663</v>
      </c>
      <c r="F29" s="8">
        <f t="shared" si="1"/>
        <v>0.75</v>
      </c>
      <c r="G29" s="68">
        <f t="shared" si="2"/>
        <v>7.75</v>
      </c>
      <c r="H29" s="68">
        <f t="shared" si="3"/>
        <v>0</v>
      </c>
      <c r="I29" s="68">
        <f t="shared" si="4"/>
        <v>0</v>
      </c>
      <c r="J29" s="64">
        <f t="shared" si="5"/>
        <v>0</v>
      </c>
      <c r="K29" s="9"/>
      <c r="L29" s="10"/>
      <c r="M29" s="11"/>
      <c r="N29" s="35" t="str" cm="1">
        <f t="array" aca="1" ref="N29" ca="1">IF(ISERROR(INDIRECT("時間詳細!A1")),"",IF(AND(ISBLANK(C29),NOT(COUNTIF(INDIRECT("時間詳細!$A$2:$A$200"),A29))),"",IF(ROUND(SUMIF(INDIRECT("時間詳細!$A$2:$A$200"),VALUE(INDIRECT("'" &amp; CONCATENATE($R$9,RIGHTB(REPT("0",2)&amp;$R$10,2)) &amp; "'!A29")),INDIRECT("時間詳細!$C$2:$C$200")),5)=G29,"OK","時間詳細の時間数と不一致です。")))</f>
        <v>OK</v>
      </c>
      <c r="O29" s="12">
        <f>0 + IFERROR(MATCH($A29,$Q$13:$Q$20,0)+1, 0)</f>
        <v>0</v>
      </c>
      <c r="P29" s="13">
        <f>IF(G29&lt;&gt;"", MAX(P$2:P28)+1, "")</f>
        <v>9</v>
      </c>
      <c r="R29" s="69"/>
      <c r="S29" s="20"/>
      <c r="T29" s="20"/>
      <c r="U29" s="19"/>
      <c r="V29" s="19"/>
      <c r="W29" s="21" t="s">
        <v>171</v>
      </c>
      <c r="Y29" s="67">
        <f t="shared" si="6"/>
        <v>0.375</v>
      </c>
      <c r="Z29" s="67">
        <f t="shared" si="7"/>
        <v>0.72916666666666663</v>
      </c>
      <c r="AA29" s="66">
        <f t="shared" si="8"/>
        <v>7.7499999999999991</v>
      </c>
      <c r="AH29" s="65">
        <v>0.30555555555555552</v>
      </c>
      <c r="AI29" s="64">
        <f t="shared" si="9"/>
        <v>7.3333333333333321</v>
      </c>
    </row>
    <row r="30" spans="1:35" ht="27" customHeight="1" x14ac:dyDescent="0.2">
      <c r="A30" s="4">
        <v>44764</v>
      </c>
      <c r="B30" s="5">
        <f t="shared" si="0"/>
        <v>44764</v>
      </c>
      <c r="C30" s="6" t="s">
        <v>172</v>
      </c>
      <c r="D30" s="7">
        <v>0.375</v>
      </c>
      <c r="E30" s="7">
        <v>0.72916666666666663</v>
      </c>
      <c r="F30" s="8">
        <f t="shared" si="1"/>
        <v>0.75</v>
      </c>
      <c r="G30" s="68">
        <f t="shared" si="2"/>
        <v>7.75</v>
      </c>
      <c r="H30" s="68">
        <f t="shared" si="3"/>
        <v>0</v>
      </c>
      <c r="I30" s="68">
        <f t="shared" si="4"/>
        <v>0</v>
      </c>
      <c r="J30" s="64">
        <f t="shared" si="5"/>
        <v>0</v>
      </c>
      <c r="K30" s="9"/>
      <c r="L30" s="10"/>
      <c r="M30" s="11"/>
      <c r="N30" s="35" t="str" cm="1">
        <f t="array" aca="1" ref="N30" ca="1">IF(ISERROR(INDIRECT("時間詳細!A1")),"",IF(AND(ISBLANK(C30),NOT(COUNTIF(INDIRECT("時間詳細!$A$2:$A$200"),A30))),"",IF(ROUND(SUMIF(INDIRECT("時間詳細!$A$2:$A$200"),VALUE(INDIRECT("'" &amp; CONCATENATE($R$9,RIGHTB(REPT("0",2)&amp;$R$10,2)) &amp; "'!A30")),INDIRECT("時間詳細!$C$2:$C$200")),5)=G30,"OK","時間詳細の時間数と不一致です。")))</f>
        <v>OK</v>
      </c>
      <c r="O30" s="12">
        <f>0 + IFERROR(MATCH($A30,$Q$13:$Q$20,0)+1, 0)</f>
        <v>0</v>
      </c>
      <c r="P30" s="13">
        <f>IF(G30&lt;&gt;"", MAX(P$2:P29)+1, "")</f>
        <v>10</v>
      </c>
      <c r="Y30" s="67">
        <f t="shared" si="6"/>
        <v>0.375</v>
      </c>
      <c r="Z30" s="67">
        <f t="shared" si="7"/>
        <v>0.72916666666666663</v>
      </c>
      <c r="AA30" s="66">
        <f t="shared" si="8"/>
        <v>7.7499999999999991</v>
      </c>
      <c r="AH30" s="65">
        <v>0.42708333333333331</v>
      </c>
      <c r="AI30" s="64">
        <f t="shared" si="9"/>
        <v>10.25</v>
      </c>
    </row>
    <row r="31" spans="1:35" ht="27" customHeight="1" x14ac:dyDescent="0.2">
      <c r="A31" s="4">
        <v>44765</v>
      </c>
      <c r="B31" s="5">
        <f t="shared" si="0"/>
        <v>44765</v>
      </c>
      <c r="C31" s="6"/>
      <c r="D31" s="7"/>
      <c r="E31" s="7"/>
      <c r="F31" s="8" t="str">
        <f t="shared" si="1"/>
        <v/>
      </c>
      <c r="G31" s="68" t="str">
        <f t="shared" si="2"/>
        <v/>
      </c>
      <c r="H31" s="68" t="str">
        <f t="shared" si="3"/>
        <v/>
      </c>
      <c r="I31" s="68" t="str">
        <f t="shared" si="4"/>
        <v/>
      </c>
      <c r="J31" s="64" t="str">
        <f t="shared" si="5"/>
        <v/>
      </c>
      <c r="K31" s="9"/>
      <c r="L31" s="10"/>
      <c r="M31" s="11"/>
      <c r="N31" s="35" t="str" cm="1">
        <f t="array" aca="1" ref="N31" ca="1">IF(ISERROR(INDIRECT("時間詳細!A1")),"",IF(AND(ISBLANK(C31),NOT(COUNTIF(INDIRECT("時間詳細!$A$2:$A$200"),A31))),"",IF(ROUND(SUMIF(INDIRECT("時間詳細!$A$2:$A$200"),VALUE(INDIRECT("'" &amp; CONCATENATE($R$9,RIGHTB(REPT("0",2)&amp;$R$10,2)) &amp; "'!A31")),INDIRECT("時間詳細!$C$2:$C$200")),5)=G31,"OK","時間詳細の時間数と不一致です。")))</f>
        <v/>
      </c>
      <c r="O31" s="12">
        <f>1 + IFERROR(MATCH($A31,$Q$13:$Q$20,0)+1, 0)</f>
        <v>1</v>
      </c>
      <c r="P31" s="13" t="str">
        <f>IF(G31&lt;&gt;"", MAX(P$2:P30)+1, "")</f>
        <v/>
      </c>
      <c r="Y31" s="67" t="e">
        <f t="shared" si="6"/>
        <v>#N/A</v>
      </c>
      <c r="Z31" s="67" t="e">
        <f t="shared" si="7"/>
        <v>#N/A</v>
      </c>
      <c r="AA31" s="66" t="e">
        <f t="shared" si="8"/>
        <v>#N/A</v>
      </c>
      <c r="AH31" s="65"/>
      <c r="AI31" s="64" t="str">
        <f t="shared" si="9"/>
        <v/>
      </c>
    </row>
    <row r="32" spans="1:35" ht="27" customHeight="1" x14ac:dyDescent="0.2">
      <c r="A32" s="4">
        <v>44766</v>
      </c>
      <c r="B32" s="5">
        <f t="shared" si="0"/>
        <v>44766</v>
      </c>
      <c r="C32" s="6"/>
      <c r="D32" s="7"/>
      <c r="E32" s="7"/>
      <c r="F32" s="8" t="str">
        <f t="shared" si="1"/>
        <v/>
      </c>
      <c r="G32" s="68" t="str">
        <f t="shared" si="2"/>
        <v/>
      </c>
      <c r="H32" s="68" t="str">
        <f t="shared" si="3"/>
        <v/>
      </c>
      <c r="I32" s="68" t="str">
        <f t="shared" si="4"/>
        <v/>
      </c>
      <c r="J32" s="64" t="str">
        <f t="shared" si="5"/>
        <v/>
      </c>
      <c r="K32" s="9"/>
      <c r="L32" s="10"/>
      <c r="M32" s="11"/>
      <c r="N32" s="35" t="str" cm="1">
        <f t="array" aca="1" ref="N32" ca="1">IF(ISERROR(INDIRECT("時間詳細!A1")),"",IF(AND(ISBLANK(C32),NOT(COUNTIF(INDIRECT("時間詳細!$A$2:$A$200"),A32))),"",IF(ROUND(SUMIF(INDIRECT("時間詳細!$A$2:$A$200"),VALUE(INDIRECT("'" &amp; CONCATENATE($R$9,RIGHTB(REPT("0",2)&amp;$R$10,2)) &amp; "'!A32")),INDIRECT("時間詳細!$C$2:$C$200")),5)=G32,"OK","時間詳細の時間数と不一致です。")))</f>
        <v/>
      </c>
      <c r="O32" s="12">
        <f>1 + IFERROR(MATCH($A32,$Q$13:$Q$20,0)+1, 0)</f>
        <v>1</v>
      </c>
      <c r="P32" s="13" t="str">
        <f>IF(G32&lt;&gt;"", MAX(P$2:P31)+1, "")</f>
        <v/>
      </c>
      <c r="Y32" s="67" t="e">
        <f t="shared" si="6"/>
        <v>#N/A</v>
      </c>
      <c r="Z32" s="67" t="e">
        <f t="shared" si="7"/>
        <v>#N/A</v>
      </c>
      <c r="AA32" s="66" t="e">
        <f t="shared" si="8"/>
        <v>#N/A</v>
      </c>
      <c r="AH32" s="65">
        <v>0.42708333333333331</v>
      </c>
      <c r="AI32" s="64">
        <f t="shared" si="9"/>
        <v>10.25</v>
      </c>
    </row>
    <row r="33" spans="1:35" ht="27" customHeight="1" x14ac:dyDescent="0.2">
      <c r="A33" s="4">
        <v>44767</v>
      </c>
      <c r="B33" s="5">
        <f t="shared" si="0"/>
        <v>44767</v>
      </c>
      <c r="C33" s="6" t="s">
        <v>172</v>
      </c>
      <c r="D33" s="7">
        <v>0.375</v>
      </c>
      <c r="E33" s="7">
        <v>0.72916666666666663</v>
      </c>
      <c r="F33" s="8">
        <f t="shared" si="1"/>
        <v>0.75</v>
      </c>
      <c r="G33" s="68">
        <f t="shared" si="2"/>
        <v>7.75</v>
      </c>
      <c r="H33" s="68">
        <f t="shared" si="3"/>
        <v>0</v>
      </c>
      <c r="I33" s="68">
        <f t="shared" si="4"/>
        <v>0</v>
      </c>
      <c r="J33" s="64">
        <f t="shared" si="5"/>
        <v>0</v>
      </c>
      <c r="K33" s="9"/>
      <c r="L33" s="10"/>
      <c r="M33" s="11"/>
      <c r="N33" s="35" t="str" cm="1">
        <f t="array" aca="1" ref="N33" ca="1">IF(ISERROR(INDIRECT("時間詳細!A1")),"",IF(AND(ISBLANK(C33),NOT(COUNTIF(INDIRECT("時間詳細!$A$2:$A$200"),A33))),"",IF(ROUND(SUMIF(INDIRECT("時間詳細!$A$2:$A$200"),VALUE(INDIRECT("'" &amp; CONCATENATE($R$9,RIGHTB(REPT("0",2)&amp;$R$10,2)) &amp; "'!A33")),INDIRECT("時間詳細!$C$2:$C$200")),5)=G33,"OK","時間詳細の時間数と不一致です。")))</f>
        <v>OK</v>
      </c>
      <c r="O33" s="12">
        <f>0 + IFERROR(MATCH($A33,$Q$13:$Q$20,0)+1, 0)</f>
        <v>0</v>
      </c>
      <c r="P33" s="13">
        <f>IF(G33&lt;&gt;"", MAX(P$2:P32)+1, "")</f>
        <v>11</v>
      </c>
      <c r="Y33" s="67">
        <f t="shared" si="6"/>
        <v>0.375</v>
      </c>
      <c r="Z33" s="67">
        <f t="shared" si="7"/>
        <v>0.72916666666666663</v>
      </c>
      <c r="AA33" s="66">
        <f t="shared" si="8"/>
        <v>7.7499999999999991</v>
      </c>
      <c r="AH33" s="65">
        <v>0.44791666666666669</v>
      </c>
      <c r="AI33" s="64">
        <f t="shared" si="9"/>
        <v>10.75</v>
      </c>
    </row>
    <row r="34" spans="1:35" ht="27" customHeight="1" x14ac:dyDescent="0.2">
      <c r="A34" s="4">
        <v>44768</v>
      </c>
      <c r="B34" s="5">
        <f t="shared" si="0"/>
        <v>44768</v>
      </c>
      <c r="C34" s="6" t="s">
        <v>172</v>
      </c>
      <c r="D34" s="7">
        <v>0.375</v>
      </c>
      <c r="E34" s="7">
        <v>0.72916666666666663</v>
      </c>
      <c r="F34" s="8">
        <f t="shared" si="1"/>
        <v>0.75</v>
      </c>
      <c r="G34" s="68">
        <f t="shared" si="2"/>
        <v>7.75</v>
      </c>
      <c r="H34" s="68">
        <f t="shared" si="3"/>
        <v>0</v>
      </c>
      <c r="I34" s="68">
        <f t="shared" si="4"/>
        <v>0</v>
      </c>
      <c r="J34" s="64">
        <f t="shared" si="5"/>
        <v>0</v>
      </c>
      <c r="K34" s="9"/>
      <c r="L34" s="10"/>
      <c r="M34" s="11"/>
      <c r="N34" s="35" t="str" cm="1">
        <f t="array" aca="1" ref="N34" ca="1">IF(ISERROR(INDIRECT("時間詳細!A1")),"",IF(AND(ISBLANK(C34),NOT(COUNTIF(INDIRECT("時間詳細!$A$2:$A$200"),A34))),"",IF(ROUND(SUMIF(INDIRECT("時間詳細!$A$2:$A$200"),VALUE(INDIRECT("'" &amp; CONCATENATE($R$9,RIGHTB(REPT("0",2)&amp;$R$10,2)) &amp; "'!A34")),INDIRECT("時間詳細!$C$2:$C$200")),5)=G34,"OK","時間詳細の時間数と不一致です。")))</f>
        <v>OK</v>
      </c>
      <c r="O34" s="12">
        <f>0 + IFERROR(MATCH($A34,$Q$13:$Q$20,0)+1, 0)</f>
        <v>0</v>
      </c>
      <c r="P34" s="13">
        <f>IF(G34&lt;&gt;"", MAX(P$2:P33)+1, "")</f>
        <v>12</v>
      </c>
      <c r="Y34" s="67">
        <f t="shared" si="6"/>
        <v>0.375</v>
      </c>
      <c r="Z34" s="67">
        <f t="shared" si="7"/>
        <v>0.72916666666666663</v>
      </c>
      <c r="AA34" s="66">
        <f t="shared" si="8"/>
        <v>7.7499999999999991</v>
      </c>
      <c r="AH34" s="65">
        <v>0.40625</v>
      </c>
      <c r="AI34" s="64">
        <f t="shared" si="9"/>
        <v>9.75</v>
      </c>
    </row>
    <row r="35" spans="1:35" ht="27" customHeight="1" x14ac:dyDescent="0.2">
      <c r="A35" s="4">
        <v>44769</v>
      </c>
      <c r="B35" s="5">
        <f t="shared" si="0"/>
        <v>44769</v>
      </c>
      <c r="C35" s="6" t="s">
        <v>172</v>
      </c>
      <c r="D35" s="7">
        <v>0.375</v>
      </c>
      <c r="E35" s="7">
        <v>0.72916666666666696</v>
      </c>
      <c r="F35" s="8">
        <f t="shared" si="1"/>
        <v>0.75</v>
      </c>
      <c r="G35" s="68">
        <f t="shared" si="2"/>
        <v>7.75</v>
      </c>
      <c r="H35" s="68">
        <f t="shared" si="3"/>
        <v>0</v>
      </c>
      <c r="I35" s="68">
        <f t="shared" si="4"/>
        <v>0</v>
      </c>
      <c r="J35" s="64">
        <f t="shared" si="5"/>
        <v>0</v>
      </c>
      <c r="K35" s="9"/>
      <c r="L35" s="10"/>
      <c r="M35" s="11"/>
      <c r="N35" s="35" t="str" cm="1">
        <f t="array" aca="1" ref="N35" ca="1">IF(ISERROR(INDIRECT("時間詳細!A1")),"",IF(AND(ISBLANK(C35),NOT(COUNTIF(INDIRECT("時間詳細!$A$2:$A$200"),A35))),"",IF(ROUND(SUMIF(INDIRECT("時間詳細!$A$2:$A$200"),VALUE(INDIRECT("'" &amp; CONCATENATE($R$9,RIGHTB(REPT("0",2)&amp;$R$10,2)) &amp; "'!A35")),INDIRECT("時間詳細!$C$2:$C$200")),5)=G35,"OK","時間詳細の時間数と不一致です。")))</f>
        <v>OK</v>
      </c>
      <c r="O35" s="12">
        <f>0 + IFERROR(MATCH($A35,$Q$13:$Q$20,0)+1, 0)</f>
        <v>0</v>
      </c>
      <c r="P35" s="13">
        <f>IF(G35&lt;&gt;"", MAX(P$2:P34)+1, "")</f>
        <v>13</v>
      </c>
      <c r="Y35" s="67">
        <f t="shared" si="6"/>
        <v>0.375</v>
      </c>
      <c r="Z35" s="67">
        <f t="shared" si="7"/>
        <v>0.72916666666666663</v>
      </c>
      <c r="AA35" s="66">
        <f t="shared" si="8"/>
        <v>7.7499999999999991</v>
      </c>
      <c r="AH35" s="65"/>
      <c r="AI35" s="64" t="str">
        <f t="shared" si="9"/>
        <v/>
      </c>
    </row>
    <row r="36" spans="1:35" ht="27" customHeight="1" x14ac:dyDescent="0.2">
      <c r="A36" s="4">
        <v>44770</v>
      </c>
      <c r="B36" s="5">
        <f t="shared" si="0"/>
        <v>44770</v>
      </c>
      <c r="C36" s="6" t="s">
        <v>172</v>
      </c>
      <c r="D36" s="7">
        <v>0.375</v>
      </c>
      <c r="E36" s="7">
        <v>0.72916666666666696</v>
      </c>
      <c r="F36" s="8">
        <f t="shared" si="1"/>
        <v>0.75</v>
      </c>
      <c r="G36" s="68">
        <f t="shared" si="2"/>
        <v>7.75</v>
      </c>
      <c r="H36" s="68">
        <f t="shared" si="3"/>
        <v>0</v>
      </c>
      <c r="I36" s="68">
        <f t="shared" si="4"/>
        <v>0</v>
      </c>
      <c r="J36" s="64">
        <f t="shared" si="5"/>
        <v>0</v>
      </c>
      <c r="K36" s="9"/>
      <c r="L36" s="10"/>
      <c r="M36" s="11"/>
      <c r="N36" s="35" t="str" cm="1">
        <f t="array" aca="1" ref="N36" ca="1">IF(ISERROR(INDIRECT("時間詳細!A1")),"",IF(AND(ISBLANK(C36),NOT(COUNTIF(INDIRECT("時間詳細!$A$2:$A$200"),A36))),"",IF(ROUND(SUMIF(INDIRECT("時間詳細!$A$2:$A$200"),VALUE(INDIRECT("'" &amp; CONCATENATE($R$9,RIGHTB(REPT("0",2)&amp;$R$10,2)) &amp; "'!A36")),INDIRECT("時間詳細!$C$2:$C$200")),5)=G36,"OK","時間詳細の時間数と不一致です。")))</f>
        <v>OK</v>
      </c>
      <c r="O36" s="12">
        <f>0 + IFERROR(MATCH($A36,$Q$13:$Q$20,0)+1, 0)</f>
        <v>0</v>
      </c>
      <c r="P36" s="13">
        <f>IF(G36&lt;&gt;"", MAX(P$2:P35)+1, "")</f>
        <v>14</v>
      </c>
      <c r="Y36" s="67">
        <f t="shared" si="6"/>
        <v>0.375</v>
      </c>
      <c r="Z36" s="67">
        <f t="shared" si="7"/>
        <v>0.72916666666666663</v>
      </c>
      <c r="AA36" s="66">
        <f t="shared" si="8"/>
        <v>7.7499999999999991</v>
      </c>
      <c r="AH36" s="65"/>
      <c r="AI36" s="64" t="str">
        <f t="shared" si="9"/>
        <v/>
      </c>
    </row>
    <row r="37" spans="1:35" ht="27" customHeight="1" x14ac:dyDescent="0.2">
      <c r="A37" s="4">
        <v>44771</v>
      </c>
      <c r="B37" s="5">
        <f t="shared" si="0"/>
        <v>44771</v>
      </c>
      <c r="C37" s="6" t="s">
        <v>172</v>
      </c>
      <c r="D37" s="7">
        <v>0.375</v>
      </c>
      <c r="E37" s="7">
        <v>0.72916666666666696</v>
      </c>
      <c r="F37" s="8">
        <f t="shared" si="1"/>
        <v>0.75</v>
      </c>
      <c r="G37" s="68">
        <f t="shared" si="2"/>
        <v>7.75</v>
      </c>
      <c r="H37" s="68">
        <f t="shared" si="3"/>
        <v>0</v>
      </c>
      <c r="I37" s="68">
        <f t="shared" si="4"/>
        <v>0</v>
      </c>
      <c r="J37" s="64">
        <f t="shared" si="5"/>
        <v>0</v>
      </c>
      <c r="K37" s="9"/>
      <c r="L37" s="10"/>
      <c r="M37" s="11"/>
      <c r="N37" s="35" t="str" cm="1">
        <f t="array" aca="1" ref="N37" ca="1">IF(ISERROR(INDIRECT("時間詳細!A1")),"",IF(AND(ISBLANK(C37),NOT(COUNTIF(INDIRECT("時間詳細!$A$2:$A$200"),A37))),"",IF(ROUND(SUMIF(INDIRECT("時間詳細!$A$2:$A$200"),VALUE(INDIRECT("'" &amp; CONCATENATE($R$9,RIGHTB(REPT("0",2)&amp;$R$10,2)) &amp; "'!A37")),INDIRECT("時間詳細!$C$2:$C$200")),5)=G37,"OK","時間詳細の時間数と不一致です。")))</f>
        <v>OK</v>
      </c>
      <c r="O37" s="12">
        <f>0 + IFERROR(MATCH($A37,$Q$13:$Q$20,0)+1, 0)</f>
        <v>0</v>
      </c>
      <c r="P37" s="13">
        <f>IF(G37&lt;&gt;"", MAX(P$2:P36)+1, "")</f>
        <v>15</v>
      </c>
      <c r="Y37" s="67">
        <f t="shared" si="6"/>
        <v>0.375</v>
      </c>
      <c r="Z37" s="67">
        <f t="shared" si="7"/>
        <v>0.72916666666666663</v>
      </c>
      <c r="AA37" s="66">
        <f t="shared" si="8"/>
        <v>7.7499999999999991</v>
      </c>
      <c r="AH37" s="65"/>
      <c r="AI37" s="64" t="str">
        <f t="shared" si="9"/>
        <v/>
      </c>
    </row>
    <row r="38" spans="1:35" ht="27" customHeight="1" x14ac:dyDescent="0.2">
      <c r="A38" s="4">
        <v>44772</v>
      </c>
      <c r="B38" s="5">
        <f t="shared" si="0"/>
        <v>44772</v>
      </c>
      <c r="C38" s="6"/>
      <c r="D38" s="7"/>
      <c r="E38" s="7"/>
      <c r="F38" s="8" t="str">
        <f t="shared" si="1"/>
        <v/>
      </c>
      <c r="G38" s="68" t="str">
        <f t="shared" si="2"/>
        <v/>
      </c>
      <c r="H38" s="68" t="str">
        <f t="shared" si="3"/>
        <v/>
      </c>
      <c r="I38" s="68" t="str">
        <f t="shared" si="4"/>
        <v/>
      </c>
      <c r="J38" s="64" t="str">
        <f t="shared" si="5"/>
        <v/>
      </c>
      <c r="K38" s="9"/>
      <c r="L38" s="10"/>
      <c r="M38" s="11"/>
      <c r="N38" s="35" t="str" cm="1">
        <f t="array" aca="1" ref="N38" ca="1">IF(ISERROR(INDIRECT("時間詳細!A1")),"",IF(AND(ISBLANK(C38),NOT(COUNTIF(INDIRECT("時間詳細!$A$2:$A$200"),A38))),"",IF(ROUND(SUMIF(INDIRECT("時間詳細!$A$2:$A$200"),VALUE(INDIRECT("'" &amp; CONCATENATE($R$9,RIGHTB(REPT("0",2)&amp;$R$10,2)) &amp; "'!A38")),INDIRECT("時間詳細!$C$2:$C$200")),5)=G38,"OK","時間詳細の時間数と不一致です。")))</f>
        <v/>
      </c>
      <c r="O38" s="12">
        <f>1 + IFERROR(MATCH($A38,$Q$13:$Q$20,0)+1, 0)</f>
        <v>1</v>
      </c>
      <c r="P38" s="13" t="str">
        <f>IF(G38&lt;&gt;"", MAX(P$2:P37)+1, "")</f>
        <v/>
      </c>
      <c r="Y38" s="67" t="e">
        <f t="shared" si="6"/>
        <v>#N/A</v>
      </c>
      <c r="Z38" s="67" t="e">
        <f t="shared" si="7"/>
        <v>#N/A</v>
      </c>
      <c r="AA38" s="66" t="e">
        <f t="shared" si="8"/>
        <v>#N/A</v>
      </c>
      <c r="AH38" s="65"/>
      <c r="AI38" s="64" t="str">
        <f t="shared" si="9"/>
        <v/>
      </c>
    </row>
    <row r="39" spans="1:35" ht="27" customHeight="1" x14ac:dyDescent="0.2">
      <c r="A39" s="4">
        <v>44773</v>
      </c>
      <c r="B39" s="5">
        <f t="shared" si="0"/>
        <v>44773</v>
      </c>
      <c r="C39" s="6"/>
      <c r="D39" s="7"/>
      <c r="E39" s="7"/>
      <c r="F39" s="8" t="str">
        <f t="shared" si="1"/>
        <v/>
      </c>
      <c r="G39" s="68" t="str">
        <f t="shared" si="2"/>
        <v/>
      </c>
      <c r="H39" s="68" t="str">
        <f t="shared" si="3"/>
        <v/>
      </c>
      <c r="I39" s="68" t="str">
        <f t="shared" si="4"/>
        <v/>
      </c>
      <c r="J39" s="64" t="str">
        <f t="shared" si="5"/>
        <v/>
      </c>
      <c r="K39" s="9"/>
      <c r="L39" s="10"/>
      <c r="M39" s="11"/>
      <c r="N39" s="35" t="str" cm="1">
        <f t="array" aca="1" ref="N39" ca="1">IF(ISERROR(INDIRECT("時間詳細!A1")),"",IF(AND(ISBLANK(C39),NOT(COUNTIF(INDIRECT("時間詳細!$A$2:$A$200"),A39))),"",IF(ROUND(SUMIF(INDIRECT("時間詳細!$A$2:$A$200"),VALUE(INDIRECT("'" &amp; CONCATENATE($R$9,RIGHTB(REPT("0",2)&amp;$R$10,2)) &amp; "'!A39")),INDIRECT("時間詳細!$C$2:$C$200")),5)=G39,"OK","時間詳細の時間数と不一致です。")))</f>
        <v/>
      </c>
      <c r="O39" s="12">
        <f>1 + IFERROR(MATCH($A39,$Q$13:$Q$20,0)+1, 0)</f>
        <v>1</v>
      </c>
      <c r="P39" s="13" t="str">
        <f>IF(G39&lt;&gt;"", MAX(P$2:P38)+1, "")</f>
        <v/>
      </c>
      <c r="Y39" s="67" t="e">
        <f t="shared" si="6"/>
        <v>#N/A</v>
      </c>
      <c r="Z39" s="67" t="e">
        <f t="shared" si="7"/>
        <v>#N/A</v>
      </c>
      <c r="AA39" s="66" t="e">
        <f t="shared" si="8"/>
        <v>#N/A</v>
      </c>
      <c r="AH39" s="65"/>
      <c r="AI39" s="64" t="str">
        <f t="shared" si="9"/>
        <v/>
      </c>
    </row>
    <row r="40" spans="1:35" ht="46.5" customHeight="1" thickBot="1" x14ac:dyDescent="0.25">
      <c r="E40" s="88" t="s">
        <v>27</v>
      </c>
      <c r="F40" s="89"/>
      <c r="G40" s="63">
        <f>SUM(G9:G39)</f>
        <v>116.5</v>
      </c>
      <c r="H40" s="63">
        <f>SUM(H9:H39)</f>
        <v>0</v>
      </c>
      <c r="I40" s="63">
        <f>SUM(I9:I39)</f>
        <v>0</v>
      </c>
      <c r="J40" s="62">
        <f>SUM(J9:J39)</f>
        <v>0</v>
      </c>
      <c r="K40" s="62">
        <f>SUM(K9:K39)</f>
        <v>0</v>
      </c>
      <c r="L40" s="61" t="str">
        <f>"有給:" &amp; COUNTIF(L9:L39,"有給")+ COUNTIF(L9:L39,"有給半休")/2&amp; " 欠勤:" &amp; COUNTIF(L9:L39, "欠勤")</f>
        <v>有給:1 欠勤:4</v>
      </c>
      <c r="M40" s="60" t="str">
        <f>"遅刻:" &amp; (COUNTIFS(M9:M39,"*遅刻*") - COUNTIFS(M9:M39,"*遅刻*証明書あり*") - COUNTIFS(M9:M39,"*遅刻*会社都合*")) &amp; " 早退:" &amp; (COUNTIFS(M9:M39,"*早退*") - COUNTIFS(M9:M39,"*早退*会社都合*")) &amp; CHAR(10) &amp; "控除対象外:" &amp; (COUNTIFS(M9:M39,"*遅刻*証明書あり*") + COUNTIFS(M9:M39,"*遅刻*会社都合*") + COUNTIFS(M9:M39,"*早退*会社都合*"))</f>
        <v>遅刻:0 早退:0
控除対象外:0</v>
      </c>
      <c r="N40" s="59"/>
      <c r="O40" s="90" t="str">
        <f>"営業日数: " &amp; COUNTIF($O$9:$O$39, 0)</f>
        <v>営業日数: 20</v>
      </c>
      <c r="P40" s="90"/>
    </row>
    <row r="41" spans="1:35" ht="46.5" customHeight="1" x14ac:dyDescent="0.2">
      <c r="E41" s="3" t="s">
        <v>28</v>
      </c>
      <c r="K41" s="58"/>
      <c r="L41" s="57"/>
      <c r="O41" s="91" t="str">
        <f>"出勤日数: " &amp; MAX($P$9:$P$39)</f>
        <v>出勤日数: 15</v>
      </c>
      <c r="P41" s="91"/>
    </row>
    <row r="42" spans="1:35" ht="18.75" customHeight="1" x14ac:dyDescent="0.2">
      <c r="L42" s="3"/>
      <c r="O42" s="54"/>
      <c r="P42" s="54"/>
    </row>
    <row r="43" spans="1:35" ht="24.75" customHeight="1" x14ac:dyDescent="0.2">
      <c r="L43" s="3"/>
      <c r="O43" s="92"/>
      <c r="P43" s="92"/>
    </row>
    <row r="44" spans="1:35" ht="18.899999999999999" customHeight="1" x14ac:dyDescent="0.2">
      <c r="D44" s="22"/>
      <c r="O44" s="93"/>
      <c r="P44" s="93"/>
    </row>
    <row r="45" spans="1:35" ht="27" customHeight="1" x14ac:dyDescent="0.2">
      <c r="O45" s="93"/>
      <c r="P45" s="93"/>
    </row>
  </sheetData>
  <mergeCells count="12">
    <mergeCell ref="O44:P44"/>
    <mergeCell ref="O45:P45"/>
    <mergeCell ref="AH7:AI7"/>
    <mergeCell ref="E40:F40"/>
    <mergeCell ref="O40:P40"/>
    <mergeCell ref="O41:P41"/>
    <mergeCell ref="O43:P43"/>
    <mergeCell ref="A3:P4"/>
    <mergeCell ref="A5:C5"/>
    <mergeCell ref="E5:I5"/>
    <mergeCell ref="O7:P7"/>
    <mergeCell ref="Y7:AA7"/>
  </mergeCells>
  <phoneticPr fontId="4"/>
  <conditionalFormatting sqref="M9:N9">
    <cfRule type="expression" dxfId="64" priority="2">
      <formula>$O$9</formula>
    </cfRule>
  </conditionalFormatting>
  <conditionalFormatting sqref="M10:N10">
    <cfRule type="expression" dxfId="63" priority="3">
      <formula>$O$10</formula>
    </cfRule>
  </conditionalFormatting>
  <conditionalFormatting sqref="M11:N11">
    <cfRule type="expression" dxfId="62" priority="4">
      <formula>$O$11</formula>
    </cfRule>
  </conditionalFormatting>
  <conditionalFormatting sqref="M12:N12">
    <cfRule type="expression" dxfId="61" priority="5">
      <formula>$O$12</formula>
    </cfRule>
  </conditionalFormatting>
  <conditionalFormatting sqref="M13:N13">
    <cfRule type="expression" dxfId="60" priority="6">
      <formula>$O$13</formula>
    </cfRule>
  </conditionalFormatting>
  <conditionalFormatting sqref="M14:N14">
    <cfRule type="expression" dxfId="59" priority="7">
      <formula>$O$14</formula>
    </cfRule>
  </conditionalFormatting>
  <conditionalFormatting sqref="M15:N15">
    <cfRule type="expression" dxfId="58" priority="8">
      <formula>$O$15</formula>
    </cfRule>
  </conditionalFormatting>
  <conditionalFormatting sqref="M16:N16">
    <cfRule type="expression" dxfId="57" priority="9">
      <formula>$O$16</formula>
    </cfRule>
  </conditionalFormatting>
  <conditionalFormatting sqref="M17:N17">
    <cfRule type="expression" dxfId="56" priority="10">
      <formula>$O$17</formula>
    </cfRule>
  </conditionalFormatting>
  <conditionalFormatting sqref="M18:N18">
    <cfRule type="expression" dxfId="55" priority="11">
      <formula>$O$18</formula>
    </cfRule>
  </conditionalFormatting>
  <conditionalFormatting sqref="M19:N19">
    <cfRule type="expression" dxfId="54" priority="12">
      <formula>$O$19</formula>
    </cfRule>
  </conditionalFormatting>
  <conditionalFormatting sqref="M20:N20">
    <cfRule type="expression" dxfId="53" priority="13">
      <formula>$O$20</formula>
    </cfRule>
  </conditionalFormatting>
  <conditionalFormatting sqref="M21:N21">
    <cfRule type="expression" dxfId="52" priority="14">
      <formula>$O$21</formula>
    </cfRule>
  </conditionalFormatting>
  <conditionalFormatting sqref="M22:N22">
    <cfRule type="expression" dxfId="51" priority="15">
      <formula>$O$22</formula>
    </cfRule>
  </conditionalFormatting>
  <conditionalFormatting sqref="M23:N23">
    <cfRule type="expression" dxfId="50" priority="16">
      <formula>$O$23</formula>
    </cfRule>
  </conditionalFormatting>
  <conditionalFormatting sqref="M24:N24">
    <cfRule type="expression" dxfId="49" priority="17">
      <formula>$O$24</formula>
    </cfRule>
  </conditionalFormatting>
  <conditionalFormatting sqref="M25:N25">
    <cfRule type="expression" dxfId="48" priority="18">
      <formula>$O$25</formula>
    </cfRule>
  </conditionalFormatting>
  <conditionalFormatting sqref="M26:N26">
    <cfRule type="expression" dxfId="47" priority="19">
      <formula>$O$26</formula>
    </cfRule>
  </conditionalFormatting>
  <conditionalFormatting sqref="M27:N27">
    <cfRule type="expression" dxfId="46" priority="20">
      <formula>$O$27</formula>
    </cfRule>
  </conditionalFormatting>
  <conditionalFormatting sqref="M28:N28">
    <cfRule type="expression" dxfId="45" priority="21">
      <formula>$O$28</formula>
    </cfRule>
  </conditionalFormatting>
  <conditionalFormatting sqref="M29:N29">
    <cfRule type="expression" dxfId="44" priority="22">
      <formula>$O$29</formula>
    </cfRule>
  </conditionalFormatting>
  <conditionalFormatting sqref="M30:N30">
    <cfRule type="expression" dxfId="43" priority="23">
      <formula>$O$30</formula>
    </cfRule>
  </conditionalFormatting>
  <conditionalFormatting sqref="M31:N31">
    <cfRule type="expression" dxfId="42" priority="24">
      <formula>$O$31</formula>
    </cfRule>
  </conditionalFormatting>
  <conditionalFormatting sqref="M32:N32">
    <cfRule type="expression" dxfId="41" priority="25">
      <formula>$O$32</formula>
    </cfRule>
  </conditionalFormatting>
  <conditionalFormatting sqref="M33:N33">
    <cfRule type="expression" dxfId="40" priority="26">
      <formula>$O$33</formula>
    </cfRule>
  </conditionalFormatting>
  <conditionalFormatting sqref="M34:N34">
    <cfRule type="expression" dxfId="39" priority="27">
      <formula>$O$34</formula>
    </cfRule>
  </conditionalFormatting>
  <conditionalFormatting sqref="M35:N35">
    <cfRule type="expression" dxfId="38" priority="28">
      <formula>$O$35</formula>
    </cfRule>
  </conditionalFormatting>
  <conditionalFormatting sqref="M36:N36">
    <cfRule type="expression" dxfId="37" priority="29">
      <formula>$O$36</formula>
    </cfRule>
  </conditionalFormatting>
  <conditionalFormatting sqref="M37:N37">
    <cfRule type="expression" dxfId="36" priority="30">
      <formula>$O$37</formula>
    </cfRule>
  </conditionalFormatting>
  <conditionalFormatting sqref="M38:N38">
    <cfRule type="expression" dxfId="35" priority="31">
      <formula>$O$38</formula>
    </cfRule>
  </conditionalFormatting>
  <conditionalFormatting sqref="M39:N39">
    <cfRule type="expression" dxfId="34" priority="32">
      <formula>$O$39</formula>
    </cfRule>
  </conditionalFormatting>
  <conditionalFormatting sqref="A9:L9">
    <cfRule type="expression" dxfId="33" priority="33">
      <formula>$O$9</formula>
    </cfRule>
  </conditionalFormatting>
  <conditionalFormatting sqref="A10:L10">
    <cfRule type="expression" dxfId="32" priority="34">
      <formula>$O$10</formula>
    </cfRule>
  </conditionalFormatting>
  <conditionalFormatting sqref="A11:L11">
    <cfRule type="expression" dxfId="31" priority="35">
      <formula>$O$11</formula>
    </cfRule>
  </conditionalFormatting>
  <conditionalFormatting sqref="A12:L12">
    <cfRule type="expression" dxfId="30" priority="36">
      <formula>$O$12</formula>
    </cfRule>
  </conditionalFormatting>
  <conditionalFormatting sqref="A13:L13">
    <cfRule type="expression" dxfId="29" priority="37">
      <formula>$O$13</formula>
    </cfRule>
  </conditionalFormatting>
  <conditionalFormatting sqref="A14:L14">
    <cfRule type="expression" dxfId="28" priority="38">
      <formula>$O$14</formula>
    </cfRule>
  </conditionalFormatting>
  <conditionalFormatting sqref="A15:L15">
    <cfRule type="expression" dxfId="27" priority="39">
      <formula>$O$15</formula>
    </cfRule>
  </conditionalFormatting>
  <conditionalFormatting sqref="A16:L16">
    <cfRule type="expression" dxfId="26" priority="40">
      <formula>$O$16</formula>
    </cfRule>
  </conditionalFormatting>
  <conditionalFormatting sqref="A17:L17">
    <cfRule type="expression" dxfId="25" priority="41">
      <formula>$O$17</formula>
    </cfRule>
  </conditionalFormatting>
  <conditionalFormatting sqref="A18:L18">
    <cfRule type="expression" dxfId="24" priority="42">
      <formula>$O$18</formula>
    </cfRule>
  </conditionalFormatting>
  <conditionalFormatting sqref="A19:L19 C20:C23 D21:E21 D23:E23">
    <cfRule type="expression" dxfId="0" priority="43">
      <formula>$O$19</formula>
    </cfRule>
  </conditionalFormatting>
  <conditionalFormatting sqref="A20:B20 D20:L20 D22:E22">
    <cfRule type="expression" dxfId="23" priority="44">
      <formula>$O$20</formula>
    </cfRule>
  </conditionalFormatting>
  <conditionalFormatting sqref="A21:B21 F21:L21">
    <cfRule type="expression" dxfId="22" priority="45">
      <formula>$O$21</formula>
    </cfRule>
  </conditionalFormatting>
  <conditionalFormatting sqref="A22:B22 F22:L22">
    <cfRule type="expression" dxfId="21" priority="46">
      <formula>$O$22</formula>
    </cfRule>
  </conditionalFormatting>
  <conditionalFormatting sqref="A23:B23 F23:L23">
    <cfRule type="expression" dxfId="20" priority="47">
      <formula>$O$23</formula>
    </cfRule>
  </conditionalFormatting>
  <conditionalFormatting sqref="A24:L24">
    <cfRule type="expression" dxfId="19" priority="48">
      <formula>$O$24</formula>
    </cfRule>
  </conditionalFormatting>
  <conditionalFormatting sqref="A25:L25">
    <cfRule type="expression" dxfId="18" priority="49">
      <formula>$O$25</formula>
    </cfRule>
  </conditionalFormatting>
  <conditionalFormatting sqref="A26:L26">
    <cfRule type="expression" dxfId="17" priority="50">
      <formula>$O$26</formula>
    </cfRule>
  </conditionalFormatting>
  <conditionalFormatting sqref="A27:L27 C28:C30 D29">
    <cfRule type="expression" dxfId="16" priority="51">
      <formula>$O$27</formula>
    </cfRule>
  </conditionalFormatting>
  <conditionalFormatting sqref="A28:B28 D28:L28 D30">
    <cfRule type="expression" dxfId="15" priority="52">
      <formula>$O$28</formula>
    </cfRule>
  </conditionalFormatting>
  <conditionalFormatting sqref="A29:B29 E29:L29">
    <cfRule type="expression" dxfId="14" priority="53">
      <formula>$O$29</formula>
    </cfRule>
  </conditionalFormatting>
  <conditionalFormatting sqref="A30:B30 E30:L30">
    <cfRule type="expression" dxfId="13" priority="54">
      <formula>$O$30</formula>
    </cfRule>
  </conditionalFormatting>
  <conditionalFormatting sqref="A31:L31">
    <cfRule type="expression" dxfId="12" priority="55">
      <formula>$O$31</formula>
    </cfRule>
  </conditionalFormatting>
  <conditionalFormatting sqref="A32:L32">
    <cfRule type="expression" dxfId="11" priority="56">
      <formula>$O$32</formula>
    </cfRule>
  </conditionalFormatting>
  <conditionalFormatting sqref="A33:L33 C34:C37 D35:E35 D37:E37">
    <cfRule type="expression" dxfId="10" priority="57">
      <formula>$O$33</formula>
    </cfRule>
  </conditionalFormatting>
  <conditionalFormatting sqref="A34:B34 D34:L34 D36:E36">
    <cfRule type="expression" dxfId="9" priority="58">
      <formula>$O$34</formula>
    </cfRule>
  </conditionalFormatting>
  <conditionalFormatting sqref="A35:B35 F35:L35">
    <cfRule type="expression" dxfId="8" priority="59">
      <formula>$O$35</formula>
    </cfRule>
  </conditionalFormatting>
  <conditionalFormatting sqref="A36:B36 F36:L36">
    <cfRule type="expression" dxfId="7" priority="60">
      <formula>$O$36</formula>
    </cfRule>
  </conditionalFormatting>
  <conditionalFormatting sqref="A37:B37 F37:L37">
    <cfRule type="expression" dxfId="6" priority="61">
      <formula>$O$37</formula>
    </cfRule>
  </conditionalFormatting>
  <conditionalFormatting sqref="A38:L38">
    <cfRule type="expression" dxfId="5" priority="62">
      <formula>$O$38</formula>
    </cfRule>
  </conditionalFormatting>
  <conditionalFormatting sqref="A39:L39">
    <cfRule type="expression" dxfId="4" priority="63">
      <formula>$O$39</formula>
    </cfRule>
  </conditionalFormatting>
  <conditionalFormatting sqref="N9:N39">
    <cfRule type="expression" dxfId="3" priority="1">
      <formula>ISERR(INDIRECT("時間詳細!A1"))</formula>
    </cfRule>
  </conditionalFormatting>
  <dataValidations count="2">
    <dataValidation type="list" allowBlank="1" showInputMessage="1" showErrorMessage="1" sqref="L9:L39" xr:uid="{0309D737-B708-4EDB-9C3C-04FA1F27604B}">
      <formula1>"欠勤,有給,有給半休"</formula1>
    </dataValidation>
    <dataValidation type="list" allowBlank="1" showInputMessage="1" showErrorMessage="1" sqref="C9:C39" xr:uid="{EDF053DC-6EA9-4CFE-97B6-0442A1E51080}">
      <formula1>OFFSET($R$24,,,COUNTA($R$24:$R$29))</formula1>
    </dataValidation>
  </dataValidations>
  <pageMargins left="0.74803149606299213" right="0.74803149606299213" top="0.98425196850393704" bottom="0.98425196850393704" header="0.51181102362204722" footer="0.51181102362204722"/>
  <pageSetup paperSize="9" scale="46" orientation="portrait" verticalDpi="300" r:id="rId1"/>
  <headerFooter alignWithMargins="0">
    <oddFooter>&amp;L&amp;"メイリオ,レギュラー"株式会社アプリズム&amp;R&amp;"メイリオ,レギュラー"Ver201301002</oddFooter>
  </headerFooter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BA9F28-BBBC-4D86-95E5-DBADBB580CD0}">
  <sheetPr codeName="Sheet13">
    <pageSetUpPr fitToPage="1"/>
  </sheetPr>
  <dimension ref="A1:J411"/>
  <sheetViews>
    <sheetView view="pageBreakPreview" zoomScale="85" zoomScaleNormal="85" zoomScaleSheetLayoutView="85" workbookViewId="0">
      <selection activeCell="C7" sqref="C7"/>
    </sheetView>
  </sheetViews>
  <sheetFormatPr defaultColWidth="9" defaultRowHeight="12.6" x14ac:dyDescent="0.15"/>
  <cols>
    <col min="1" max="1" width="17.88671875" style="30" customWidth="1"/>
    <col min="2" max="2" width="21.6640625" style="31" customWidth="1"/>
    <col min="3" max="3" width="8" style="32" customWidth="1"/>
    <col min="4" max="4" width="80.33203125" style="27" customWidth="1"/>
    <col min="5" max="5" width="9.33203125" style="27" bestFit="1" customWidth="1"/>
    <col min="6" max="6" width="14.6640625" style="27" bestFit="1" customWidth="1"/>
    <col min="7" max="7" width="19.33203125" style="27" customWidth="1"/>
    <col min="8" max="8" width="80.33203125" style="27" customWidth="1"/>
    <col min="9" max="16384" width="9" style="27"/>
  </cols>
  <sheetData>
    <row r="1" spans="1:9" ht="13.2" thickBot="1" x14ac:dyDescent="0.2">
      <c r="A1" s="24" t="s">
        <v>1</v>
      </c>
      <c r="B1" s="25" t="s">
        <v>39</v>
      </c>
      <c r="C1" s="26" t="s">
        <v>40</v>
      </c>
      <c r="D1" s="26" t="s">
        <v>41</v>
      </c>
    </row>
    <row r="2" spans="1:9" ht="13.2" thickBot="1" x14ac:dyDescent="0.2">
      <c r="A2" s="28">
        <v>44749</v>
      </c>
      <c r="B2" s="41">
        <v>20111102</v>
      </c>
      <c r="C2" s="36">
        <v>8</v>
      </c>
      <c r="D2" s="29" t="str">
        <f t="shared" ref="D2:D65" si="0">IF(ISBLANK(B2),"ジョブコードを選択してください",VLOOKUP(B2,$B$202:$C$411,2,FALSE))</f>
        <v>その他、社内ワーク　（社内ワーカー、部長業務、社内月次面談、戦力室業務など）</v>
      </c>
      <c r="F2" s="14">
        <v>2022</v>
      </c>
      <c r="G2" s="48" t="s">
        <v>42</v>
      </c>
    </row>
    <row r="3" spans="1:9" ht="13.2" thickBot="1" x14ac:dyDescent="0.2">
      <c r="A3" s="28">
        <v>44753</v>
      </c>
      <c r="B3" s="41">
        <v>20111101</v>
      </c>
      <c r="C3" s="36">
        <v>7.75</v>
      </c>
      <c r="D3" s="29" t="str">
        <f t="shared" si="0"/>
        <v>準委任・派遣</v>
      </c>
      <c r="F3" s="14">
        <v>7</v>
      </c>
      <c r="G3" s="48" t="s">
        <v>42</v>
      </c>
    </row>
    <row r="4" spans="1:9" x14ac:dyDescent="0.15">
      <c r="A4" s="28">
        <v>44754</v>
      </c>
      <c r="B4" s="41">
        <v>20111101</v>
      </c>
      <c r="C4" s="36">
        <v>7.75</v>
      </c>
      <c r="D4" s="29" t="str">
        <f t="shared" si="0"/>
        <v>準委任・派遣</v>
      </c>
    </row>
    <row r="5" spans="1:9" x14ac:dyDescent="0.15">
      <c r="A5" s="28">
        <v>44755</v>
      </c>
      <c r="B5" s="41">
        <v>20111101</v>
      </c>
      <c r="C5" s="36">
        <v>7.75</v>
      </c>
      <c r="D5" s="29" t="str">
        <f t="shared" si="0"/>
        <v>準委任・派遣</v>
      </c>
      <c r="F5" s="27" t="s">
        <v>46</v>
      </c>
    </row>
    <row r="6" spans="1:9" x14ac:dyDescent="0.15">
      <c r="A6" s="28">
        <v>44756</v>
      </c>
      <c r="B6" s="41">
        <v>20111101</v>
      </c>
      <c r="C6" s="36">
        <v>7.75</v>
      </c>
      <c r="D6" s="29" t="str">
        <f t="shared" si="0"/>
        <v>準委任・派遣</v>
      </c>
      <c r="F6" s="30">
        <f>DATE(F2,F3,1)</f>
        <v>44743</v>
      </c>
      <c r="G6" s="27" t="s">
        <v>0</v>
      </c>
    </row>
    <row r="7" spans="1:9" x14ac:dyDescent="0.15">
      <c r="A7" s="28">
        <v>44757</v>
      </c>
      <c r="B7" s="41">
        <v>20111101</v>
      </c>
      <c r="C7" s="36">
        <v>7.75</v>
      </c>
      <c r="D7" s="29" t="str">
        <f t="shared" si="0"/>
        <v>準委任・派遣</v>
      </c>
      <c r="F7" s="30">
        <f>EOMONTH(F6,0)</f>
        <v>44773</v>
      </c>
      <c r="G7" s="27" t="s">
        <v>43</v>
      </c>
    </row>
    <row r="8" spans="1:9" x14ac:dyDescent="0.15">
      <c r="A8" s="28">
        <v>44761</v>
      </c>
      <c r="B8" s="41">
        <v>20111101</v>
      </c>
      <c r="C8" s="36">
        <v>7.75</v>
      </c>
      <c r="D8" s="29" t="str">
        <f t="shared" si="0"/>
        <v>準委任・派遣</v>
      </c>
      <c r="F8" s="45" t="s">
        <v>44</v>
      </c>
      <c r="G8" s="47"/>
    </row>
    <row r="9" spans="1:9" x14ac:dyDescent="0.15">
      <c r="A9" s="28">
        <v>44762</v>
      </c>
      <c r="B9" s="41">
        <v>20111101</v>
      </c>
      <c r="C9" s="36">
        <v>7.75</v>
      </c>
      <c r="D9" s="29" t="str">
        <f t="shared" si="0"/>
        <v>準委任・派遣</v>
      </c>
      <c r="F9" s="45" t="s">
        <v>45</v>
      </c>
      <c r="G9" s="47"/>
    </row>
    <row r="10" spans="1:9" ht="12.75" customHeight="1" x14ac:dyDescent="0.15">
      <c r="A10" s="28">
        <v>44763</v>
      </c>
      <c r="B10" s="41">
        <v>20111101</v>
      </c>
      <c r="C10" s="36">
        <v>7.75</v>
      </c>
      <c r="D10" s="29" t="str">
        <f t="shared" si="0"/>
        <v>準委任・派遣</v>
      </c>
      <c r="F10" s="34"/>
    </row>
    <row r="11" spans="1:9" x14ac:dyDescent="0.15">
      <c r="A11" s="28">
        <v>44764</v>
      </c>
      <c r="B11" s="41">
        <v>20111101</v>
      </c>
      <c r="C11" s="36">
        <v>7.75</v>
      </c>
      <c r="D11" s="29" t="str">
        <f t="shared" si="0"/>
        <v>準委任・派遣</v>
      </c>
      <c r="H11" s="45" t="s">
        <v>53</v>
      </c>
    </row>
    <row r="12" spans="1:9" x14ac:dyDescent="0.15">
      <c r="A12" s="28">
        <v>44767</v>
      </c>
      <c r="B12" s="41">
        <v>20111101</v>
      </c>
      <c r="C12" s="36">
        <v>7.75</v>
      </c>
      <c r="D12" s="29" t="str">
        <f t="shared" si="0"/>
        <v>準委任・派遣</v>
      </c>
    </row>
    <row r="13" spans="1:9" x14ac:dyDescent="0.15">
      <c r="A13" s="28">
        <v>44768</v>
      </c>
      <c r="B13" s="41">
        <v>20111101</v>
      </c>
      <c r="C13" s="36">
        <v>7.75</v>
      </c>
      <c r="D13" s="29" t="str">
        <f t="shared" si="0"/>
        <v>準委任・派遣</v>
      </c>
      <c r="F13" s="96" t="s">
        <v>49</v>
      </c>
      <c r="G13" s="97"/>
      <c r="H13" s="97"/>
      <c r="I13" s="98"/>
    </row>
    <row r="14" spans="1:9" x14ac:dyDescent="0.15">
      <c r="A14" s="28">
        <v>44769</v>
      </c>
      <c r="B14" s="41">
        <v>20111101</v>
      </c>
      <c r="C14" s="36">
        <v>7.75</v>
      </c>
      <c r="D14" s="29" t="str">
        <f t="shared" si="0"/>
        <v>準委任・派遣</v>
      </c>
      <c r="F14" s="38" t="s">
        <v>50</v>
      </c>
      <c r="G14" s="39" t="s">
        <v>39</v>
      </c>
      <c r="H14" s="39" t="s">
        <v>51</v>
      </c>
      <c r="I14" s="39" t="s">
        <v>52</v>
      </c>
    </row>
    <row r="15" spans="1:9" x14ac:dyDescent="0.15">
      <c r="A15" s="28">
        <v>44770</v>
      </c>
      <c r="B15" s="41">
        <v>20111101</v>
      </c>
      <c r="C15" s="36">
        <v>7.75</v>
      </c>
      <c r="D15" s="29" t="str">
        <f t="shared" si="0"/>
        <v>準委任・派遣</v>
      </c>
      <c r="F15" s="40">
        <v>1</v>
      </c>
      <c r="G15" s="41"/>
      <c r="H15" s="42" t="str">
        <f t="shared" ref="H15:H24" si="1">IF(ISBLANK(G15),"ジョブコードを選択してください",VLOOKUP(G15,$B$202:$C$411,2,FALSE))</f>
        <v>ジョブコードを選択してください</v>
      </c>
      <c r="I15" s="43">
        <f t="shared" ref="I15:I24" si="2">SUMIF($D$2:$D$200,H15,$C$2:$C$200)</f>
        <v>0</v>
      </c>
    </row>
    <row r="16" spans="1:9" x14ac:dyDescent="0.15">
      <c r="A16" s="28">
        <v>44771</v>
      </c>
      <c r="B16" s="41">
        <v>20111101</v>
      </c>
      <c r="C16" s="36">
        <v>7.75</v>
      </c>
      <c r="D16" s="29" t="str">
        <f t="shared" si="0"/>
        <v>準委任・派遣</v>
      </c>
      <c r="F16" s="39">
        <v>2</v>
      </c>
      <c r="G16" s="41"/>
      <c r="H16" s="42" t="str">
        <f t="shared" si="1"/>
        <v>ジョブコードを選択してください</v>
      </c>
      <c r="I16" s="43">
        <f t="shared" si="2"/>
        <v>0</v>
      </c>
    </row>
    <row r="17" spans="1:10" x14ac:dyDescent="0.15">
      <c r="A17" s="28"/>
      <c r="B17" s="41"/>
      <c r="C17" s="36"/>
      <c r="D17" s="29" t="str">
        <f t="shared" si="0"/>
        <v>ジョブコードを選択してください</v>
      </c>
      <c r="F17" s="40">
        <v>3</v>
      </c>
      <c r="G17" s="41"/>
      <c r="H17" s="42" t="str">
        <f t="shared" si="1"/>
        <v>ジョブコードを選択してください</v>
      </c>
      <c r="I17" s="43">
        <f t="shared" si="2"/>
        <v>0</v>
      </c>
    </row>
    <row r="18" spans="1:10" x14ac:dyDescent="0.15">
      <c r="A18" s="28"/>
      <c r="B18" s="41"/>
      <c r="C18" s="36"/>
      <c r="D18" s="29" t="str">
        <f t="shared" si="0"/>
        <v>ジョブコードを選択してください</v>
      </c>
      <c r="F18" s="39">
        <v>4</v>
      </c>
      <c r="G18" s="41"/>
      <c r="H18" s="42" t="str">
        <f t="shared" si="1"/>
        <v>ジョブコードを選択してください</v>
      </c>
      <c r="I18" s="43">
        <f t="shared" si="2"/>
        <v>0</v>
      </c>
    </row>
    <row r="19" spans="1:10" x14ac:dyDescent="0.15">
      <c r="A19" s="28"/>
      <c r="B19" s="41"/>
      <c r="C19" s="36"/>
      <c r="D19" s="29" t="str">
        <f t="shared" si="0"/>
        <v>ジョブコードを選択してください</v>
      </c>
      <c r="F19" s="40">
        <v>5</v>
      </c>
      <c r="G19" s="41"/>
      <c r="H19" s="42" t="str">
        <f t="shared" si="1"/>
        <v>ジョブコードを選択してください</v>
      </c>
      <c r="I19" s="43">
        <f t="shared" si="2"/>
        <v>0</v>
      </c>
    </row>
    <row r="20" spans="1:10" x14ac:dyDescent="0.15">
      <c r="A20" s="28"/>
      <c r="B20" s="41"/>
      <c r="C20" s="36"/>
      <c r="D20" s="29" t="str">
        <f t="shared" si="0"/>
        <v>ジョブコードを選択してください</v>
      </c>
      <c r="F20" s="39">
        <v>6</v>
      </c>
      <c r="G20" s="41"/>
      <c r="H20" s="42" t="str">
        <f t="shared" si="1"/>
        <v>ジョブコードを選択してください</v>
      </c>
      <c r="I20" s="43">
        <f t="shared" si="2"/>
        <v>0</v>
      </c>
    </row>
    <row r="21" spans="1:10" x14ac:dyDescent="0.15">
      <c r="A21" s="28"/>
      <c r="B21" s="41"/>
      <c r="C21" s="36"/>
      <c r="D21" s="29" t="str">
        <f t="shared" si="0"/>
        <v>ジョブコードを選択してください</v>
      </c>
      <c r="F21" s="40">
        <v>7</v>
      </c>
      <c r="G21" s="41"/>
      <c r="H21" s="42" t="str">
        <f t="shared" si="1"/>
        <v>ジョブコードを選択してください</v>
      </c>
      <c r="I21" s="43">
        <f t="shared" si="2"/>
        <v>0</v>
      </c>
    </row>
    <row r="22" spans="1:10" x14ac:dyDescent="0.15">
      <c r="A22" s="28"/>
      <c r="B22" s="41"/>
      <c r="C22" s="36"/>
      <c r="D22" s="29" t="str">
        <f t="shared" si="0"/>
        <v>ジョブコードを選択してください</v>
      </c>
      <c r="F22" s="39">
        <v>8</v>
      </c>
      <c r="G22" s="41"/>
      <c r="H22" s="42" t="str">
        <f t="shared" si="1"/>
        <v>ジョブコードを選択してください</v>
      </c>
      <c r="I22" s="43">
        <f t="shared" si="2"/>
        <v>0</v>
      </c>
    </row>
    <row r="23" spans="1:10" x14ac:dyDescent="0.15">
      <c r="A23" s="28"/>
      <c r="B23" s="41"/>
      <c r="C23" s="36"/>
      <c r="D23" s="29" t="str">
        <f t="shared" si="0"/>
        <v>ジョブコードを選択してください</v>
      </c>
      <c r="F23" s="40">
        <v>9</v>
      </c>
      <c r="G23" s="44"/>
      <c r="H23" s="42" t="str">
        <f t="shared" si="1"/>
        <v>ジョブコードを選択してください</v>
      </c>
      <c r="I23" s="43">
        <f t="shared" si="2"/>
        <v>0</v>
      </c>
    </row>
    <row r="24" spans="1:10" x14ac:dyDescent="0.15">
      <c r="A24" s="28"/>
      <c r="B24" s="41"/>
      <c r="C24" s="36"/>
      <c r="D24" s="29" t="str">
        <f t="shared" si="0"/>
        <v>ジョブコードを選択してください</v>
      </c>
      <c r="F24" s="39">
        <v>10</v>
      </c>
      <c r="G24" s="44"/>
      <c r="H24" s="42" t="str">
        <f t="shared" si="1"/>
        <v>ジョブコードを選択してください</v>
      </c>
      <c r="I24" s="43">
        <f t="shared" si="2"/>
        <v>0</v>
      </c>
    </row>
    <row r="25" spans="1:10" x14ac:dyDescent="0.15">
      <c r="A25" s="28"/>
      <c r="B25" s="41"/>
      <c r="C25" s="36"/>
      <c r="D25" s="29" t="str">
        <f t="shared" si="0"/>
        <v>ジョブコードを選択してください</v>
      </c>
      <c r="I25" s="43">
        <f>SUM(I15:I24)</f>
        <v>0</v>
      </c>
      <c r="J25" s="27" t="s">
        <v>54</v>
      </c>
    </row>
    <row r="26" spans="1:10" x14ac:dyDescent="0.15">
      <c r="A26" s="28"/>
      <c r="B26" s="41"/>
      <c r="C26" s="36"/>
      <c r="D26" s="29" t="str">
        <f t="shared" si="0"/>
        <v>ジョブコードを選択してください</v>
      </c>
    </row>
    <row r="27" spans="1:10" x14ac:dyDescent="0.15">
      <c r="A27" s="28"/>
      <c r="B27" s="41"/>
      <c r="C27" s="36"/>
      <c r="D27" s="29" t="str">
        <f t="shared" si="0"/>
        <v>ジョブコードを選択してください</v>
      </c>
    </row>
    <row r="28" spans="1:10" x14ac:dyDescent="0.15">
      <c r="A28" s="28"/>
      <c r="B28" s="41"/>
      <c r="C28" s="36"/>
      <c r="D28" s="29" t="str">
        <f t="shared" si="0"/>
        <v>ジョブコードを選択してください</v>
      </c>
    </row>
    <row r="29" spans="1:10" x14ac:dyDescent="0.15">
      <c r="A29" s="28"/>
      <c r="B29" s="41"/>
      <c r="C29" s="36"/>
      <c r="D29" s="29" t="str">
        <f t="shared" si="0"/>
        <v>ジョブコードを選択してください</v>
      </c>
    </row>
    <row r="30" spans="1:10" x14ac:dyDescent="0.15">
      <c r="A30" s="28"/>
      <c r="B30" s="41"/>
      <c r="C30" s="36"/>
      <c r="D30" s="29" t="str">
        <f t="shared" si="0"/>
        <v>ジョブコードを選択してください</v>
      </c>
    </row>
    <row r="31" spans="1:10" x14ac:dyDescent="0.15">
      <c r="A31" s="28"/>
      <c r="B31" s="41"/>
      <c r="C31" s="36"/>
      <c r="D31" s="29" t="str">
        <f t="shared" si="0"/>
        <v>ジョブコードを選択してください</v>
      </c>
    </row>
    <row r="32" spans="1:10" x14ac:dyDescent="0.15">
      <c r="A32" s="28"/>
      <c r="B32" s="41"/>
      <c r="C32" s="36"/>
      <c r="D32" s="29" t="str">
        <f t="shared" si="0"/>
        <v>ジョブコードを選択してください</v>
      </c>
    </row>
    <row r="33" spans="1:4" x14ac:dyDescent="0.15">
      <c r="A33" s="28"/>
      <c r="B33" s="41"/>
      <c r="C33" s="36"/>
      <c r="D33" s="29" t="str">
        <f t="shared" si="0"/>
        <v>ジョブコードを選択してください</v>
      </c>
    </row>
    <row r="34" spans="1:4" x14ac:dyDescent="0.15">
      <c r="A34" s="28"/>
      <c r="B34" s="41"/>
      <c r="C34" s="36"/>
      <c r="D34" s="29" t="str">
        <f t="shared" si="0"/>
        <v>ジョブコードを選択してください</v>
      </c>
    </row>
    <row r="35" spans="1:4" x14ac:dyDescent="0.15">
      <c r="A35" s="28"/>
      <c r="B35" s="41"/>
      <c r="C35" s="36"/>
      <c r="D35" s="29" t="str">
        <f t="shared" si="0"/>
        <v>ジョブコードを選択してください</v>
      </c>
    </row>
    <row r="36" spans="1:4" x14ac:dyDescent="0.15">
      <c r="A36" s="28"/>
      <c r="B36" s="41"/>
      <c r="C36" s="36"/>
      <c r="D36" s="29" t="str">
        <f t="shared" si="0"/>
        <v>ジョブコードを選択してください</v>
      </c>
    </row>
    <row r="37" spans="1:4" x14ac:dyDescent="0.15">
      <c r="A37" s="28"/>
      <c r="B37" s="41"/>
      <c r="C37" s="36"/>
      <c r="D37" s="29" t="str">
        <f t="shared" si="0"/>
        <v>ジョブコードを選択してください</v>
      </c>
    </row>
    <row r="38" spans="1:4" x14ac:dyDescent="0.15">
      <c r="A38" s="28"/>
      <c r="B38" s="41"/>
      <c r="C38" s="36"/>
      <c r="D38" s="29" t="str">
        <f t="shared" si="0"/>
        <v>ジョブコードを選択してください</v>
      </c>
    </row>
    <row r="39" spans="1:4" x14ac:dyDescent="0.15">
      <c r="A39" s="28"/>
      <c r="B39" s="41"/>
      <c r="C39" s="36"/>
      <c r="D39" s="29" t="str">
        <f t="shared" si="0"/>
        <v>ジョブコードを選択してください</v>
      </c>
    </row>
    <row r="40" spans="1:4" x14ac:dyDescent="0.15">
      <c r="A40" s="28"/>
      <c r="B40" s="41"/>
      <c r="C40" s="36"/>
      <c r="D40" s="29" t="str">
        <f t="shared" si="0"/>
        <v>ジョブコードを選択してください</v>
      </c>
    </row>
    <row r="41" spans="1:4" x14ac:dyDescent="0.15">
      <c r="A41" s="28"/>
      <c r="B41" s="41"/>
      <c r="C41" s="36"/>
      <c r="D41" s="29" t="str">
        <f t="shared" si="0"/>
        <v>ジョブコードを選択してください</v>
      </c>
    </row>
    <row r="42" spans="1:4" x14ac:dyDescent="0.15">
      <c r="A42" s="28"/>
      <c r="B42" s="41"/>
      <c r="C42" s="36"/>
      <c r="D42" s="29" t="str">
        <f t="shared" si="0"/>
        <v>ジョブコードを選択してください</v>
      </c>
    </row>
    <row r="43" spans="1:4" x14ac:dyDescent="0.15">
      <c r="A43" s="28"/>
      <c r="B43" s="41"/>
      <c r="C43" s="36"/>
      <c r="D43" s="29" t="str">
        <f t="shared" si="0"/>
        <v>ジョブコードを選択してください</v>
      </c>
    </row>
    <row r="44" spans="1:4" x14ac:dyDescent="0.15">
      <c r="A44" s="28"/>
      <c r="B44" s="41"/>
      <c r="C44" s="36"/>
      <c r="D44" s="29" t="str">
        <f t="shared" si="0"/>
        <v>ジョブコードを選択してください</v>
      </c>
    </row>
    <row r="45" spans="1:4" x14ac:dyDescent="0.15">
      <c r="A45" s="28"/>
      <c r="B45" s="41"/>
      <c r="C45" s="36"/>
      <c r="D45" s="29" t="str">
        <f t="shared" si="0"/>
        <v>ジョブコードを選択してください</v>
      </c>
    </row>
    <row r="46" spans="1:4" x14ac:dyDescent="0.15">
      <c r="A46" s="28"/>
      <c r="B46" s="41"/>
      <c r="C46" s="36"/>
      <c r="D46" s="29" t="str">
        <f t="shared" si="0"/>
        <v>ジョブコードを選択してください</v>
      </c>
    </row>
    <row r="47" spans="1:4" x14ac:dyDescent="0.15">
      <c r="A47" s="28"/>
      <c r="B47" s="41"/>
      <c r="C47" s="36"/>
      <c r="D47" s="29" t="str">
        <f t="shared" si="0"/>
        <v>ジョブコードを選択してください</v>
      </c>
    </row>
    <row r="48" spans="1:4" x14ac:dyDescent="0.15">
      <c r="A48" s="28"/>
      <c r="B48" s="41"/>
      <c r="C48" s="36"/>
      <c r="D48" s="29" t="str">
        <f t="shared" si="0"/>
        <v>ジョブコードを選択してください</v>
      </c>
    </row>
    <row r="49" spans="1:4" x14ac:dyDescent="0.15">
      <c r="A49" s="28"/>
      <c r="B49" s="41"/>
      <c r="C49" s="36"/>
      <c r="D49" s="29" t="str">
        <f t="shared" si="0"/>
        <v>ジョブコードを選択してください</v>
      </c>
    </row>
    <row r="50" spans="1:4" x14ac:dyDescent="0.15">
      <c r="A50" s="28"/>
      <c r="B50" s="41"/>
      <c r="C50" s="36"/>
      <c r="D50" s="29" t="str">
        <f t="shared" si="0"/>
        <v>ジョブコードを選択してください</v>
      </c>
    </row>
    <row r="51" spans="1:4" x14ac:dyDescent="0.15">
      <c r="A51" s="28"/>
      <c r="B51" s="41"/>
      <c r="C51" s="36"/>
      <c r="D51" s="29" t="str">
        <f t="shared" si="0"/>
        <v>ジョブコードを選択してください</v>
      </c>
    </row>
    <row r="52" spans="1:4" x14ac:dyDescent="0.15">
      <c r="A52" s="28"/>
      <c r="B52" s="41"/>
      <c r="C52" s="36"/>
      <c r="D52" s="29" t="str">
        <f t="shared" si="0"/>
        <v>ジョブコードを選択してください</v>
      </c>
    </row>
    <row r="53" spans="1:4" x14ac:dyDescent="0.15">
      <c r="A53" s="28"/>
      <c r="B53" s="41"/>
      <c r="C53" s="36"/>
      <c r="D53" s="29" t="str">
        <f t="shared" si="0"/>
        <v>ジョブコードを選択してください</v>
      </c>
    </row>
    <row r="54" spans="1:4" x14ac:dyDescent="0.15">
      <c r="A54" s="28"/>
      <c r="B54" s="41"/>
      <c r="C54" s="36"/>
      <c r="D54" s="29" t="str">
        <f t="shared" si="0"/>
        <v>ジョブコードを選択してください</v>
      </c>
    </row>
    <row r="55" spans="1:4" x14ac:dyDescent="0.15">
      <c r="A55" s="28"/>
      <c r="B55" s="41"/>
      <c r="C55" s="36"/>
      <c r="D55" s="29" t="str">
        <f t="shared" si="0"/>
        <v>ジョブコードを選択してください</v>
      </c>
    </row>
    <row r="56" spans="1:4" x14ac:dyDescent="0.15">
      <c r="A56" s="28"/>
      <c r="B56" s="41"/>
      <c r="C56" s="36"/>
      <c r="D56" s="29" t="str">
        <f t="shared" si="0"/>
        <v>ジョブコードを選択してください</v>
      </c>
    </row>
    <row r="57" spans="1:4" x14ac:dyDescent="0.15">
      <c r="A57" s="28"/>
      <c r="B57" s="41"/>
      <c r="C57" s="36"/>
      <c r="D57" s="29" t="str">
        <f t="shared" si="0"/>
        <v>ジョブコードを選択してください</v>
      </c>
    </row>
    <row r="58" spans="1:4" x14ac:dyDescent="0.15">
      <c r="A58" s="28"/>
      <c r="B58" s="41"/>
      <c r="C58" s="36"/>
      <c r="D58" s="29" t="str">
        <f t="shared" si="0"/>
        <v>ジョブコードを選択してください</v>
      </c>
    </row>
    <row r="59" spans="1:4" x14ac:dyDescent="0.15">
      <c r="A59" s="28"/>
      <c r="B59" s="41"/>
      <c r="C59" s="36"/>
      <c r="D59" s="29" t="str">
        <f t="shared" si="0"/>
        <v>ジョブコードを選択してください</v>
      </c>
    </row>
    <row r="60" spans="1:4" x14ac:dyDescent="0.15">
      <c r="A60" s="28"/>
      <c r="B60" s="41"/>
      <c r="C60" s="36"/>
      <c r="D60" s="29" t="str">
        <f t="shared" si="0"/>
        <v>ジョブコードを選択してください</v>
      </c>
    </row>
    <row r="61" spans="1:4" x14ac:dyDescent="0.15">
      <c r="A61" s="28"/>
      <c r="B61" s="41"/>
      <c r="C61" s="36"/>
      <c r="D61" s="29" t="str">
        <f t="shared" si="0"/>
        <v>ジョブコードを選択してください</v>
      </c>
    </row>
    <row r="62" spans="1:4" x14ac:dyDescent="0.15">
      <c r="A62" s="28"/>
      <c r="B62" s="41"/>
      <c r="C62" s="36"/>
      <c r="D62" s="29" t="str">
        <f t="shared" si="0"/>
        <v>ジョブコードを選択してください</v>
      </c>
    </row>
    <row r="63" spans="1:4" x14ac:dyDescent="0.15">
      <c r="A63" s="28"/>
      <c r="B63" s="41"/>
      <c r="C63" s="36"/>
      <c r="D63" s="29" t="str">
        <f t="shared" si="0"/>
        <v>ジョブコードを選択してください</v>
      </c>
    </row>
    <row r="64" spans="1:4" x14ac:dyDescent="0.15">
      <c r="A64" s="28"/>
      <c r="B64" s="41"/>
      <c r="C64" s="36"/>
      <c r="D64" s="29" t="str">
        <f t="shared" si="0"/>
        <v>ジョブコードを選択してください</v>
      </c>
    </row>
    <row r="65" spans="1:4" x14ac:dyDescent="0.15">
      <c r="A65" s="28"/>
      <c r="B65" s="41"/>
      <c r="C65" s="36"/>
      <c r="D65" s="29" t="str">
        <f t="shared" si="0"/>
        <v>ジョブコードを選択してください</v>
      </c>
    </row>
    <row r="66" spans="1:4" x14ac:dyDescent="0.15">
      <c r="A66" s="28"/>
      <c r="B66" s="41"/>
      <c r="C66" s="36"/>
      <c r="D66" s="29" t="str">
        <f t="shared" ref="D66:D101" si="3">IF(ISBLANK(B66),"ジョブコードを選択してください",VLOOKUP(B66,$B$202:$C$411,2,FALSE))</f>
        <v>ジョブコードを選択してください</v>
      </c>
    </row>
    <row r="67" spans="1:4" x14ac:dyDescent="0.15">
      <c r="A67" s="28"/>
      <c r="B67" s="41"/>
      <c r="C67" s="36"/>
      <c r="D67" s="29" t="str">
        <f t="shared" si="3"/>
        <v>ジョブコードを選択してください</v>
      </c>
    </row>
    <row r="68" spans="1:4" x14ac:dyDescent="0.15">
      <c r="A68" s="28"/>
      <c r="B68" s="41"/>
      <c r="C68" s="36"/>
      <c r="D68" s="29" t="str">
        <f t="shared" si="3"/>
        <v>ジョブコードを選択してください</v>
      </c>
    </row>
    <row r="69" spans="1:4" x14ac:dyDescent="0.15">
      <c r="A69" s="28"/>
      <c r="B69" s="41"/>
      <c r="C69" s="36"/>
      <c r="D69" s="29" t="str">
        <f t="shared" si="3"/>
        <v>ジョブコードを選択してください</v>
      </c>
    </row>
    <row r="70" spans="1:4" x14ac:dyDescent="0.15">
      <c r="A70" s="28"/>
      <c r="B70" s="41"/>
      <c r="C70" s="36"/>
      <c r="D70" s="29" t="str">
        <f t="shared" si="3"/>
        <v>ジョブコードを選択してください</v>
      </c>
    </row>
    <row r="71" spans="1:4" x14ac:dyDescent="0.15">
      <c r="A71" s="28"/>
      <c r="B71" s="41"/>
      <c r="C71" s="36"/>
      <c r="D71" s="29" t="str">
        <f t="shared" si="3"/>
        <v>ジョブコードを選択してください</v>
      </c>
    </row>
    <row r="72" spans="1:4" x14ac:dyDescent="0.15">
      <c r="A72" s="28"/>
      <c r="B72" s="41"/>
      <c r="C72" s="36"/>
      <c r="D72" s="29" t="str">
        <f t="shared" si="3"/>
        <v>ジョブコードを選択してください</v>
      </c>
    </row>
    <row r="73" spans="1:4" x14ac:dyDescent="0.15">
      <c r="A73" s="28"/>
      <c r="B73" s="41"/>
      <c r="C73" s="36"/>
      <c r="D73" s="29" t="str">
        <f t="shared" si="3"/>
        <v>ジョブコードを選択してください</v>
      </c>
    </row>
    <row r="74" spans="1:4" x14ac:dyDescent="0.15">
      <c r="A74" s="28"/>
      <c r="B74" s="41"/>
      <c r="C74" s="36"/>
      <c r="D74" s="29" t="str">
        <f t="shared" si="3"/>
        <v>ジョブコードを選択してください</v>
      </c>
    </row>
    <row r="75" spans="1:4" x14ac:dyDescent="0.15">
      <c r="A75" s="28"/>
      <c r="B75" s="41"/>
      <c r="C75" s="36"/>
      <c r="D75" s="29" t="str">
        <f t="shared" si="3"/>
        <v>ジョブコードを選択してください</v>
      </c>
    </row>
    <row r="76" spans="1:4" x14ac:dyDescent="0.15">
      <c r="A76" s="28"/>
      <c r="B76" s="41"/>
      <c r="C76" s="36"/>
      <c r="D76" s="29" t="str">
        <f t="shared" si="3"/>
        <v>ジョブコードを選択してください</v>
      </c>
    </row>
    <row r="77" spans="1:4" x14ac:dyDescent="0.15">
      <c r="A77" s="28"/>
      <c r="B77" s="41"/>
      <c r="C77" s="36"/>
      <c r="D77" s="29" t="str">
        <f t="shared" si="3"/>
        <v>ジョブコードを選択してください</v>
      </c>
    </row>
    <row r="78" spans="1:4" x14ac:dyDescent="0.15">
      <c r="A78" s="28"/>
      <c r="B78" s="41"/>
      <c r="C78" s="36"/>
      <c r="D78" s="29" t="str">
        <f t="shared" si="3"/>
        <v>ジョブコードを選択してください</v>
      </c>
    </row>
    <row r="79" spans="1:4" x14ac:dyDescent="0.15">
      <c r="A79" s="28"/>
      <c r="B79" s="41"/>
      <c r="C79" s="36"/>
      <c r="D79" s="29" t="str">
        <f t="shared" si="3"/>
        <v>ジョブコードを選択してください</v>
      </c>
    </row>
    <row r="80" spans="1:4" x14ac:dyDescent="0.15">
      <c r="A80" s="28"/>
      <c r="B80" s="41"/>
      <c r="C80" s="36"/>
      <c r="D80" s="29" t="str">
        <f t="shared" si="3"/>
        <v>ジョブコードを選択してください</v>
      </c>
    </row>
    <row r="81" spans="1:4" x14ac:dyDescent="0.15">
      <c r="A81" s="28"/>
      <c r="B81" s="41"/>
      <c r="C81" s="36"/>
      <c r="D81" s="29" t="str">
        <f t="shared" si="3"/>
        <v>ジョブコードを選択してください</v>
      </c>
    </row>
    <row r="82" spans="1:4" x14ac:dyDescent="0.15">
      <c r="A82" s="28"/>
      <c r="B82" s="41"/>
      <c r="C82" s="36"/>
      <c r="D82" s="29" t="str">
        <f t="shared" si="3"/>
        <v>ジョブコードを選択してください</v>
      </c>
    </row>
    <row r="83" spans="1:4" x14ac:dyDescent="0.15">
      <c r="A83" s="28"/>
      <c r="B83" s="41"/>
      <c r="C83" s="36"/>
      <c r="D83" s="29" t="str">
        <f t="shared" si="3"/>
        <v>ジョブコードを選択してください</v>
      </c>
    </row>
    <row r="84" spans="1:4" x14ac:dyDescent="0.15">
      <c r="A84" s="28"/>
      <c r="B84" s="41"/>
      <c r="C84" s="36"/>
      <c r="D84" s="29" t="str">
        <f t="shared" si="3"/>
        <v>ジョブコードを選択してください</v>
      </c>
    </row>
    <row r="85" spans="1:4" x14ac:dyDescent="0.15">
      <c r="A85" s="28"/>
      <c r="B85" s="41"/>
      <c r="C85" s="36"/>
      <c r="D85" s="29" t="str">
        <f t="shared" si="3"/>
        <v>ジョブコードを選択してください</v>
      </c>
    </row>
    <row r="86" spans="1:4" x14ac:dyDescent="0.15">
      <c r="A86" s="28"/>
      <c r="B86" s="41"/>
      <c r="C86" s="36"/>
      <c r="D86" s="29" t="str">
        <f t="shared" si="3"/>
        <v>ジョブコードを選択してください</v>
      </c>
    </row>
    <row r="87" spans="1:4" x14ac:dyDescent="0.15">
      <c r="A87" s="28"/>
      <c r="B87" s="41"/>
      <c r="C87" s="36"/>
      <c r="D87" s="29" t="str">
        <f t="shared" si="3"/>
        <v>ジョブコードを選択してください</v>
      </c>
    </row>
    <row r="88" spans="1:4" x14ac:dyDescent="0.15">
      <c r="A88" s="28"/>
      <c r="B88" s="41"/>
      <c r="C88" s="36"/>
      <c r="D88" s="29" t="str">
        <f t="shared" si="3"/>
        <v>ジョブコードを選択してください</v>
      </c>
    </row>
    <row r="89" spans="1:4" x14ac:dyDescent="0.15">
      <c r="A89" s="28"/>
      <c r="B89" s="41"/>
      <c r="C89" s="36"/>
      <c r="D89" s="29" t="str">
        <f t="shared" si="3"/>
        <v>ジョブコードを選択してください</v>
      </c>
    </row>
    <row r="90" spans="1:4" x14ac:dyDescent="0.15">
      <c r="A90" s="28"/>
      <c r="B90" s="41"/>
      <c r="C90" s="36"/>
      <c r="D90" s="29" t="str">
        <f t="shared" si="3"/>
        <v>ジョブコードを選択してください</v>
      </c>
    </row>
    <row r="91" spans="1:4" x14ac:dyDescent="0.15">
      <c r="A91" s="28"/>
      <c r="B91" s="41"/>
      <c r="C91" s="36"/>
      <c r="D91" s="29" t="str">
        <f t="shared" si="3"/>
        <v>ジョブコードを選択してください</v>
      </c>
    </row>
    <row r="92" spans="1:4" x14ac:dyDescent="0.15">
      <c r="A92" s="28"/>
      <c r="B92" s="41"/>
      <c r="C92" s="36"/>
      <c r="D92" s="29" t="str">
        <f t="shared" si="3"/>
        <v>ジョブコードを選択してください</v>
      </c>
    </row>
    <row r="93" spans="1:4" x14ac:dyDescent="0.15">
      <c r="A93" s="28"/>
      <c r="B93" s="41"/>
      <c r="C93" s="36"/>
      <c r="D93" s="29" t="str">
        <f t="shared" si="3"/>
        <v>ジョブコードを選択してください</v>
      </c>
    </row>
    <row r="94" spans="1:4" x14ac:dyDescent="0.15">
      <c r="A94" s="28"/>
      <c r="B94" s="41"/>
      <c r="C94" s="36"/>
      <c r="D94" s="29" t="str">
        <f t="shared" si="3"/>
        <v>ジョブコードを選択してください</v>
      </c>
    </row>
    <row r="95" spans="1:4" x14ac:dyDescent="0.15">
      <c r="A95" s="28"/>
      <c r="B95" s="41"/>
      <c r="C95" s="36"/>
      <c r="D95" s="29" t="str">
        <f t="shared" si="3"/>
        <v>ジョブコードを選択してください</v>
      </c>
    </row>
    <row r="96" spans="1:4" x14ac:dyDescent="0.15">
      <c r="A96" s="28"/>
      <c r="B96" s="41"/>
      <c r="C96" s="36"/>
      <c r="D96" s="29" t="str">
        <f t="shared" si="3"/>
        <v>ジョブコードを選択してください</v>
      </c>
    </row>
    <row r="97" spans="1:4" x14ac:dyDescent="0.15">
      <c r="A97" s="28"/>
      <c r="B97" s="41"/>
      <c r="C97" s="36"/>
      <c r="D97" s="29" t="str">
        <f t="shared" si="3"/>
        <v>ジョブコードを選択してください</v>
      </c>
    </row>
    <row r="98" spans="1:4" x14ac:dyDescent="0.15">
      <c r="A98" s="28"/>
      <c r="B98" s="41"/>
      <c r="C98" s="36"/>
      <c r="D98" s="29" t="str">
        <f t="shared" si="3"/>
        <v>ジョブコードを選択してください</v>
      </c>
    </row>
    <row r="99" spans="1:4" x14ac:dyDescent="0.15">
      <c r="A99" s="28"/>
      <c r="B99" s="41"/>
      <c r="C99" s="36"/>
      <c r="D99" s="29" t="str">
        <f t="shared" si="3"/>
        <v>ジョブコードを選択してください</v>
      </c>
    </row>
    <row r="100" spans="1:4" x14ac:dyDescent="0.15">
      <c r="A100" s="28"/>
      <c r="B100" s="41"/>
      <c r="C100" s="36"/>
      <c r="D100" s="29" t="str">
        <f t="shared" si="3"/>
        <v>ジョブコードを選択してください</v>
      </c>
    </row>
    <row r="101" spans="1:4" x14ac:dyDescent="0.15">
      <c r="A101" s="28"/>
      <c r="B101" s="41"/>
      <c r="C101" s="36"/>
      <c r="D101" s="29" t="str">
        <f t="shared" si="3"/>
        <v>ジョブコードを選択してください</v>
      </c>
    </row>
    <row r="102" spans="1:4" x14ac:dyDescent="0.15">
      <c r="C102" s="37"/>
    </row>
    <row r="103" spans="1:4" x14ac:dyDescent="0.15">
      <c r="C103" s="37"/>
    </row>
    <row r="104" spans="1:4" x14ac:dyDescent="0.15">
      <c r="C104" s="37"/>
    </row>
    <row r="105" spans="1:4" x14ac:dyDescent="0.15">
      <c r="C105" s="37"/>
    </row>
    <row r="106" spans="1:4" x14ac:dyDescent="0.15">
      <c r="C106" s="37"/>
    </row>
    <row r="107" spans="1:4" x14ac:dyDescent="0.15">
      <c r="C107" s="37"/>
    </row>
    <row r="108" spans="1:4" x14ac:dyDescent="0.15">
      <c r="C108" s="37"/>
    </row>
    <row r="109" spans="1:4" x14ac:dyDescent="0.15">
      <c r="C109" s="37"/>
    </row>
    <row r="110" spans="1:4" x14ac:dyDescent="0.15">
      <c r="C110" s="37"/>
    </row>
    <row r="111" spans="1:4" x14ac:dyDescent="0.15">
      <c r="C111" s="37"/>
    </row>
    <row r="112" spans="1:4" x14ac:dyDescent="0.15">
      <c r="C112" s="37"/>
    </row>
    <row r="113" spans="3:3" x14ac:dyDescent="0.15">
      <c r="C113" s="37"/>
    </row>
    <row r="114" spans="3:3" x14ac:dyDescent="0.15">
      <c r="C114" s="37"/>
    </row>
    <row r="115" spans="3:3" x14ac:dyDescent="0.15">
      <c r="C115" s="37"/>
    </row>
    <row r="116" spans="3:3" x14ac:dyDescent="0.15">
      <c r="C116" s="37"/>
    </row>
    <row r="117" spans="3:3" x14ac:dyDescent="0.15">
      <c r="C117" s="37"/>
    </row>
    <row r="118" spans="3:3" x14ac:dyDescent="0.15">
      <c r="C118" s="37"/>
    </row>
    <row r="119" spans="3:3" x14ac:dyDescent="0.15">
      <c r="C119" s="37"/>
    </row>
    <row r="120" spans="3:3" x14ac:dyDescent="0.15">
      <c r="C120" s="37"/>
    </row>
    <row r="121" spans="3:3" x14ac:dyDescent="0.15">
      <c r="C121" s="37"/>
    </row>
    <row r="122" spans="3:3" x14ac:dyDescent="0.15">
      <c r="C122" s="37"/>
    </row>
    <row r="123" spans="3:3" x14ac:dyDescent="0.15">
      <c r="C123" s="37"/>
    </row>
    <row r="124" spans="3:3" x14ac:dyDescent="0.15">
      <c r="C124" s="37"/>
    </row>
    <row r="125" spans="3:3" x14ac:dyDescent="0.15">
      <c r="C125" s="37"/>
    </row>
    <row r="126" spans="3:3" x14ac:dyDescent="0.15">
      <c r="C126" s="37"/>
    </row>
    <row r="127" spans="3:3" x14ac:dyDescent="0.15">
      <c r="C127" s="37"/>
    </row>
    <row r="128" spans="3:3" x14ac:dyDescent="0.15">
      <c r="C128" s="37"/>
    </row>
    <row r="129" spans="3:3" x14ac:dyDescent="0.15">
      <c r="C129" s="37"/>
    </row>
    <row r="130" spans="3:3" x14ac:dyDescent="0.15">
      <c r="C130" s="37"/>
    </row>
    <row r="131" spans="3:3" x14ac:dyDescent="0.15">
      <c r="C131" s="37"/>
    </row>
    <row r="132" spans="3:3" x14ac:dyDescent="0.15">
      <c r="C132" s="37"/>
    </row>
    <row r="133" spans="3:3" x14ac:dyDescent="0.15">
      <c r="C133" s="37"/>
    </row>
    <row r="134" spans="3:3" x14ac:dyDescent="0.15">
      <c r="C134" s="37"/>
    </row>
    <row r="135" spans="3:3" x14ac:dyDescent="0.15">
      <c r="C135" s="37"/>
    </row>
    <row r="136" spans="3:3" x14ac:dyDescent="0.15">
      <c r="C136" s="37"/>
    </row>
    <row r="137" spans="3:3" x14ac:dyDescent="0.15">
      <c r="C137" s="37"/>
    </row>
    <row r="138" spans="3:3" x14ac:dyDescent="0.15">
      <c r="C138" s="37"/>
    </row>
    <row r="139" spans="3:3" x14ac:dyDescent="0.15">
      <c r="C139" s="37"/>
    </row>
    <row r="140" spans="3:3" x14ac:dyDescent="0.15">
      <c r="C140" s="37"/>
    </row>
    <row r="141" spans="3:3" x14ac:dyDescent="0.15">
      <c r="C141" s="37"/>
    </row>
    <row r="142" spans="3:3" x14ac:dyDescent="0.15">
      <c r="C142" s="37"/>
    </row>
    <row r="143" spans="3:3" x14ac:dyDescent="0.15">
      <c r="C143" s="37"/>
    </row>
    <row r="144" spans="3:3" x14ac:dyDescent="0.15">
      <c r="C144" s="37"/>
    </row>
    <row r="145" spans="3:3" x14ac:dyDescent="0.15">
      <c r="C145" s="37"/>
    </row>
    <row r="146" spans="3:3" x14ac:dyDescent="0.15">
      <c r="C146" s="37"/>
    </row>
    <row r="147" spans="3:3" x14ac:dyDescent="0.15">
      <c r="C147" s="37"/>
    </row>
    <row r="148" spans="3:3" x14ac:dyDescent="0.15">
      <c r="C148" s="37"/>
    </row>
    <row r="149" spans="3:3" x14ac:dyDescent="0.15">
      <c r="C149" s="37"/>
    </row>
    <row r="150" spans="3:3" x14ac:dyDescent="0.15">
      <c r="C150" s="37"/>
    </row>
    <row r="151" spans="3:3" x14ac:dyDescent="0.15">
      <c r="C151" s="37"/>
    </row>
    <row r="152" spans="3:3" x14ac:dyDescent="0.15">
      <c r="C152" s="37"/>
    </row>
    <row r="153" spans="3:3" x14ac:dyDescent="0.15">
      <c r="C153" s="37"/>
    </row>
    <row r="154" spans="3:3" x14ac:dyDescent="0.15">
      <c r="C154" s="37"/>
    </row>
    <row r="155" spans="3:3" x14ac:dyDescent="0.15">
      <c r="C155" s="37"/>
    </row>
    <row r="156" spans="3:3" x14ac:dyDescent="0.15">
      <c r="C156" s="37"/>
    </row>
    <row r="157" spans="3:3" x14ac:dyDescent="0.15">
      <c r="C157" s="37"/>
    </row>
    <row r="158" spans="3:3" x14ac:dyDescent="0.15">
      <c r="C158" s="37"/>
    </row>
    <row r="159" spans="3:3" x14ac:dyDescent="0.15">
      <c r="C159" s="37"/>
    </row>
    <row r="160" spans="3:3" x14ac:dyDescent="0.15">
      <c r="C160" s="37"/>
    </row>
    <row r="161" spans="3:3" x14ac:dyDescent="0.15">
      <c r="C161" s="37"/>
    </row>
    <row r="162" spans="3:3" x14ac:dyDescent="0.15">
      <c r="C162" s="37"/>
    </row>
    <row r="163" spans="3:3" x14ac:dyDescent="0.15">
      <c r="C163" s="37"/>
    </row>
    <row r="164" spans="3:3" x14ac:dyDescent="0.15">
      <c r="C164" s="37"/>
    </row>
    <row r="165" spans="3:3" x14ac:dyDescent="0.15">
      <c r="C165" s="37"/>
    </row>
    <row r="166" spans="3:3" x14ac:dyDescent="0.15">
      <c r="C166" s="37"/>
    </row>
    <row r="167" spans="3:3" x14ac:dyDescent="0.15">
      <c r="C167" s="37"/>
    </row>
    <row r="168" spans="3:3" x14ac:dyDescent="0.15">
      <c r="C168" s="37"/>
    </row>
    <row r="169" spans="3:3" x14ac:dyDescent="0.15">
      <c r="C169" s="37"/>
    </row>
    <row r="170" spans="3:3" x14ac:dyDescent="0.15">
      <c r="C170" s="37"/>
    </row>
    <row r="171" spans="3:3" x14ac:dyDescent="0.15">
      <c r="C171" s="37"/>
    </row>
    <row r="172" spans="3:3" x14ac:dyDescent="0.15">
      <c r="C172" s="37"/>
    </row>
    <row r="173" spans="3:3" x14ac:dyDescent="0.15">
      <c r="C173" s="37"/>
    </row>
    <row r="174" spans="3:3" x14ac:dyDescent="0.15">
      <c r="C174" s="37"/>
    </row>
    <row r="175" spans="3:3" x14ac:dyDescent="0.15">
      <c r="C175" s="37"/>
    </row>
    <row r="176" spans="3:3" x14ac:dyDescent="0.15">
      <c r="C176" s="37"/>
    </row>
    <row r="177" spans="3:3" x14ac:dyDescent="0.15">
      <c r="C177" s="37"/>
    </row>
    <row r="178" spans="3:3" x14ac:dyDescent="0.15">
      <c r="C178" s="37"/>
    </row>
    <row r="179" spans="3:3" x14ac:dyDescent="0.15">
      <c r="C179" s="37"/>
    </row>
    <row r="180" spans="3:3" x14ac:dyDescent="0.15">
      <c r="C180" s="37"/>
    </row>
    <row r="181" spans="3:3" x14ac:dyDescent="0.15">
      <c r="C181" s="37"/>
    </row>
    <row r="182" spans="3:3" x14ac:dyDescent="0.15">
      <c r="C182" s="37"/>
    </row>
    <row r="183" spans="3:3" x14ac:dyDescent="0.15">
      <c r="C183" s="37"/>
    </row>
    <row r="184" spans="3:3" x14ac:dyDescent="0.15">
      <c r="C184" s="37"/>
    </row>
    <row r="185" spans="3:3" x14ac:dyDescent="0.15">
      <c r="C185" s="37"/>
    </row>
    <row r="186" spans="3:3" x14ac:dyDescent="0.15">
      <c r="C186" s="37"/>
    </row>
    <row r="187" spans="3:3" x14ac:dyDescent="0.15">
      <c r="C187" s="37"/>
    </row>
    <row r="188" spans="3:3" x14ac:dyDescent="0.15">
      <c r="C188" s="37"/>
    </row>
    <row r="189" spans="3:3" x14ac:dyDescent="0.15">
      <c r="C189" s="37"/>
    </row>
    <row r="190" spans="3:3" x14ac:dyDescent="0.15">
      <c r="C190" s="37"/>
    </row>
    <row r="191" spans="3:3" x14ac:dyDescent="0.15">
      <c r="C191" s="37"/>
    </row>
    <row r="192" spans="3:3" x14ac:dyDescent="0.15">
      <c r="C192" s="37"/>
    </row>
    <row r="193" spans="1:5" x14ac:dyDescent="0.15">
      <c r="C193" s="37"/>
    </row>
    <row r="194" spans="1:5" x14ac:dyDescent="0.15">
      <c r="C194" s="37"/>
    </row>
    <row r="195" spans="1:5" x14ac:dyDescent="0.15">
      <c r="C195" s="37"/>
    </row>
    <row r="196" spans="1:5" x14ac:dyDescent="0.15">
      <c r="C196" s="37"/>
    </row>
    <row r="197" spans="1:5" x14ac:dyDescent="0.15">
      <c r="C197" s="37"/>
    </row>
    <row r="198" spans="1:5" x14ac:dyDescent="0.15">
      <c r="C198" s="37"/>
    </row>
    <row r="199" spans="1:5" x14ac:dyDescent="0.15">
      <c r="C199" s="37"/>
    </row>
    <row r="200" spans="1:5" x14ac:dyDescent="0.15">
      <c r="C200" s="37"/>
    </row>
    <row r="201" spans="1:5" x14ac:dyDescent="0.15">
      <c r="B201" s="46" t="s">
        <v>39</v>
      </c>
      <c r="C201" s="99" t="s">
        <v>41</v>
      </c>
      <c r="D201" s="100"/>
      <c r="E201" s="27" t="s">
        <v>91</v>
      </c>
    </row>
    <row r="202" spans="1:5" x14ac:dyDescent="0.15">
      <c r="A202" s="27">
        <v>1</v>
      </c>
      <c r="B202" s="49">
        <v>20111101</v>
      </c>
      <c r="C202" s="94" t="s">
        <v>55</v>
      </c>
      <c r="D202" s="95"/>
      <c r="E202" s="27" t="s">
        <v>61</v>
      </c>
    </row>
    <row r="203" spans="1:5" x14ac:dyDescent="0.15">
      <c r="A203" s="27">
        <v>2</v>
      </c>
      <c r="B203" s="49">
        <v>20111102</v>
      </c>
      <c r="C203" s="94" t="s">
        <v>123</v>
      </c>
      <c r="D203" s="95"/>
      <c r="E203" s="27" t="s">
        <v>61</v>
      </c>
    </row>
    <row r="204" spans="1:5" x14ac:dyDescent="0.15">
      <c r="A204" s="27">
        <v>3</v>
      </c>
      <c r="B204" s="49">
        <v>20200201</v>
      </c>
      <c r="C204" s="94" t="s">
        <v>62</v>
      </c>
      <c r="D204" s="95"/>
      <c r="E204" s="27" t="s">
        <v>61</v>
      </c>
    </row>
    <row r="205" spans="1:5" x14ac:dyDescent="0.15">
      <c r="A205" s="27">
        <v>4</v>
      </c>
      <c r="B205" s="50">
        <v>20211101</v>
      </c>
      <c r="C205" s="55" t="s">
        <v>63</v>
      </c>
      <c r="D205" s="56"/>
      <c r="E205" s="27" t="s">
        <v>61</v>
      </c>
    </row>
    <row r="206" spans="1:5" x14ac:dyDescent="0.15">
      <c r="A206" s="27">
        <v>5</v>
      </c>
      <c r="B206" s="50">
        <v>20211102</v>
      </c>
      <c r="C206" s="55" t="s">
        <v>64</v>
      </c>
      <c r="D206" s="56"/>
      <c r="E206" s="27" t="s">
        <v>61</v>
      </c>
    </row>
    <row r="207" spans="1:5" x14ac:dyDescent="0.15">
      <c r="A207" s="27">
        <v>6</v>
      </c>
      <c r="B207" s="50">
        <v>20211103</v>
      </c>
      <c r="C207" s="55" t="s">
        <v>65</v>
      </c>
      <c r="D207" s="56"/>
      <c r="E207" s="27" t="s">
        <v>61</v>
      </c>
    </row>
    <row r="208" spans="1:5" x14ac:dyDescent="0.15">
      <c r="A208" s="27">
        <v>7</v>
      </c>
      <c r="B208" s="50">
        <v>20211104</v>
      </c>
      <c r="C208" s="55" t="s">
        <v>66</v>
      </c>
      <c r="D208" s="56"/>
      <c r="E208" s="27" t="s">
        <v>61</v>
      </c>
    </row>
    <row r="209" spans="1:5" x14ac:dyDescent="0.15">
      <c r="A209" s="27">
        <v>8</v>
      </c>
      <c r="B209" s="50">
        <v>20211105</v>
      </c>
      <c r="C209" s="55" t="s">
        <v>67</v>
      </c>
      <c r="D209" s="56"/>
      <c r="E209" s="27" t="s">
        <v>61</v>
      </c>
    </row>
    <row r="210" spans="1:5" x14ac:dyDescent="0.15">
      <c r="A210" s="27">
        <v>9</v>
      </c>
      <c r="B210" s="50">
        <v>20211106</v>
      </c>
      <c r="C210" s="94" t="s">
        <v>117</v>
      </c>
      <c r="D210" s="95"/>
      <c r="E210" s="27" t="s">
        <v>61</v>
      </c>
    </row>
    <row r="211" spans="1:5" x14ac:dyDescent="0.15">
      <c r="A211" s="27">
        <v>10</v>
      </c>
      <c r="B211" s="49">
        <v>20220701</v>
      </c>
      <c r="C211" s="55" t="s">
        <v>157</v>
      </c>
      <c r="D211" s="56"/>
      <c r="E211" s="27" t="s">
        <v>61</v>
      </c>
    </row>
    <row r="212" spans="1:5" x14ac:dyDescent="0.15">
      <c r="A212" s="27">
        <v>11</v>
      </c>
      <c r="B212" s="52" t="s">
        <v>93</v>
      </c>
      <c r="C212" s="55" t="s">
        <v>92</v>
      </c>
      <c r="D212" s="56"/>
      <c r="E212" s="27" t="s">
        <v>94</v>
      </c>
    </row>
    <row r="213" spans="1:5" x14ac:dyDescent="0.15">
      <c r="A213" s="27">
        <v>12</v>
      </c>
      <c r="B213" s="49" t="s">
        <v>58</v>
      </c>
      <c r="C213" s="55" t="s">
        <v>68</v>
      </c>
      <c r="D213" s="56"/>
      <c r="E213" s="51" t="s">
        <v>82</v>
      </c>
    </row>
    <row r="214" spans="1:5" x14ac:dyDescent="0.15">
      <c r="A214" s="27">
        <v>13</v>
      </c>
      <c r="B214" s="49" t="s">
        <v>59</v>
      </c>
      <c r="C214" s="55" t="s">
        <v>69</v>
      </c>
      <c r="D214" s="56"/>
      <c r="E214" s="51" t="s">
        <v>83</v>
      </c>
    </row>
    <row r="215" spans="1:5" x14ac:dyDescent="0.15">
      <c r="A215" s="27">
        <v>14</v>
      </c>
      <c r="B215" s="49" t="s">
        <v>76</v>
      </c>
      <c r="C215" s="55" t="s">
        <v>77</v>
      </c>
      <c r="D215" s="56"/>
      <c r="E215" s="51" t="s">
        <v>78</v>
      </c>
    </row>
    <row r="216" spans="1:5" ht="14.4" x14ac:dyDescent="0.3">
      <c r="A216" s="27">
        <v>15</v>
      </c>
      <c r="B216" s="52" t="s">
        <v>88</v>
      </c>
      <c r="C216" s="55" t="s">
        <v>90</v>
      </c>
      <c r="D216" s="56"/>
      <c r="E216" s="51" t="s">
        <v>89</v>
      </c>
    </row>
    <row r="217" spans="1:5" x14ac:dyDescent="0.15">
      <c r="A217" s="27">
        <v>16</v>
      </c>
      <c r="B217" s="49" t="s">
        <v>60</v>
      </c>
      <c r="C217" s="55" t="s">
        <v>70</v>
      </c>
      <c r="D217" s="56"/>
      <c r="E217" s="27" t="s">
        <v>84</v>
      </c>
    </row>
    <row r="218" spans="1:5" x14ac:dyDescent="0.15">
      <c r="A218" s="27">
        <v>17</v>
      </c>
      <c r="B218" s="49" t="s">
        <v>56</v>
      </c>
      <c r="C218" s="94" t="s">
        <v>71</v>
      </c>
      <c r="D218" s="95"/>
      <c r="E218" s="27" t="s">
        <v>85</v>
      </c>
    </row>
    <row r="219" spans="1:5" x14ac:dyDescent="0.15">
      <c r="A219" s="27">
        <v>18</v>
      </c>
      <c r="B219" s="52" t="s">
        <v>139</v>
      </c>
      <c r="C219" s="55" t="s">
        <v>71</v>
      </c>
      <c r="D219" s="56"/>
      <c r="E219" s="27" t="s">
        <v>140</v>
      </c>
    </row>
    <row r="220" spans="1:5" x14ac:dyDescent="0.15">
      <c r="A220" s="27">
        <v>19</v>
      </c>
      <c r="B220" s="52" t="s">
        <v>133</v>
      </c>
      <c r="C220" s="94" t="s">
        <v>134</v>
      </c>
      <c r="D220" s="95"/>
      <c r="E220" s="51" t="s">
        <v>135</v>
      </c>
    </row>
    <row r="221" spans="1:5" x14ac:dyDescent="0.15">
      <c r="A221" s="27">
        <v>20</v>
      </c>
      <c r="B221" s="52" t="s">
        <v>133</v>
      </c>
      <c r="C221" s="94" t="s">
        <v>134</v>
      </c>
      <c r="D221" s="95"/>
      <c r="E221" s="51" t="s">
        <v>167</v>
      </c>
    </row>
    <row r="222" spans="1:5" x14ac:dyDescent="0.15">
      <c r="A222" s="27">
        <v>21</v>
      </c>
      <c r="B222" s="50" t="s">
        <v>72</v>
      </c>
      <c r="C222" s="94" t="s">
        <v>74</v>
      </c>
      <c r="D222" s="95"/>
      <c r="E222" s="27" t="s">
        <v>86</v>
      </c>
    </row>
    <row r="223" spans="1:5" x14ac:dyDescent="0.15">
      <c r="A223" s="27">
        <v>22</v>
      </c>
      <c r="B223" s="50" t="s">
        <v>124</v>
      </c>
      <c r="C223" s="94" t="s">
        <v>74</v>
      </c>
      <c r="D223" s="95"/>
      <c r="E223" s="51" t="s">
        <v>109</v>
      </c>
    </row>
    <row r="224" spans="1:5" x14ac:dyDescent="0.15">
      <c r="A224" s="27">
        <v>23</v>
      </c>
      <c r="B224" s="50" t="s">
        <v>125</v>
      </c>
      <c r="C224" s="94" t="s">
        <v>74</v>
      </c>
      <c r="D224" s="95"/>
      <c r="E224" s="27" t="s">
        <v>126</v>
      </c>
    </row>
    <row r="225" spans="1:5" x14ac:dyDescent="0.15">
      <c r="A225" s="27">
        <v>24</v>
      </c>
      <c r="B225" s="50" t="s">
        <v>73</v>
      </c>
      <c r="C225" s="94" t="s">
        <v>75</v>
      </c>
      <c r="D225" s="95"/>
      <c r="E225" s="27" t="s">
        <v>80</v>
      </c>
    </row>
    <row r="226" spans="1:5" x14ac:dyDescent="0.15">
      <c r="A226" s="27">
        <v>25</v>
      </c>
      <c r="B226" s="50">
        <v>20220101</v>
      </c>
      <c r="C226" s="94" t="s">
        <v>57</v>
      </c>
      <c r="D226" s="95"/>
      <c r="E226" s="27" t="s">
        <v>81</v>
      </c>
    </row>
    <row r="227" spans="1:5" x14ac:dyDescent="0.15">
      <c r="A227" s="27">
        <v>26</v>
      </c>
      <c r="B227" s="50">
        <v>20210701</v>
      </c>
      <c r="C227" s="94" t="s">
        <v>79</v>
      </c>
      <c r="D227" s="95"/>
      <c r="E227" s="27" t="s">
        <v>87</v>
      </c>
    </row>
    <row r="228" spans="1:5" x14ac:dyDescent="0.15">
      <c r="A228" s="27">
        <v>27</v>
      </c>
      <c r="B228" s="49" t="s">
        <v>58</v>
      </c>
      <c r="C228" s="94" t="s">
        <v>68</v>
      </c>
      <c r="D228" s="95"/>
      <c r="E228" s="51" t="s">
        <v>97</v>
      </c>
    </row>
    <row r="229" spans="1:5" x14ac:dyDescent="0.15">
      <c r="A229" s="27">
        <v>28</v>
      </c>
      <c r="B229" s="49" t="s">
        <v>95</v>
      </c>
      <c r="C229" s="94" t="s">
        <v>100</v>
      </c>
      <c r="D229" s="95"/>
      <c r="E229" s="51" t="s">
        <v>97</v>
      </c>
    </row>
    <row r="230" spans="1:5" x14ac:dyDescent="0.15">
      <c r="A230" s="27">
        <v>29</v>
      </c>
      <c r="B230" s="49" t="s">
        <v>59</v>
      </c>
      <c r="C230" s="94" t="s">
        <v>69</v>
      </c>
      <c r="D230" s="95"/>
      <c r="E230" s="51" t="s">
        <v>98</v>
      </c>
    </row>
    <row r="231" spans="1:5" x14ac:dyDescent="0.15">
      <c r="A231" s="27">
        <v>30</v>
      </c>
      <c r="B231" s="49" t="s">
        <v>76</v>
      </c>
      <c r="C231" s="94" t="s">
        <v>77</v>
      </c>
      <c r="D231" s="95"/>
      <c r="E231" s="27" t="s">
        <v>78</v>
      </c>
    </row>
    <row r="232" spans="1:5" x14ac:dyDescent="0.15">
      <c r="A232" s="27">
        <v>31</v>
      </c>
      <c r="B232" s="49" t="s">
        <v>96</v>
      </c>
      <c r="C232" s="94" t="s">
        <v>101</v>
      </c>
      <c r="D232" s="95"/>
      <c r="E232" s="27" t="s">
        <v>99</v>
      </c>
    </row>
    <row r="233" spans="1:5" x14ac:dyDescent="0.15">
      <c r="A233" s="27">
        <v>32</v>
      </c>
      <c r="B233" s="49" t="s">
        <v>103</v>
      </c>
      <c r="C233" s="94" t="s">
        <v>102</v>
      </c>
      <c r="D233" s="95"/>
      <c r="E233" s="27" t="s">
        <v>106</v>
      </c>
    </row>
    <row r="234" spans="1:5" x14ac:dyDescent="0.15">
      <c r="A234" s="27">
        <v>33</v>
      </c>
      <c r="B234" s="49" t="s">
        <v>105</v>
      </c>
      <c r="C234" s="94" t="s">
        <v>104</v>
      </c>
      <c r="D234" s="95"/>
      <c r="E234" s="27" t="s">
        <v>106</v>
      </c>
    </row>
    <row r="235" spans="1:5" x14ac:dyDescent="0.15">
      <c r="A235" s="27">
        <v>34</v>
      </c>
      <c r="B235" s="52" t="s">
        <v>107</v>
      </c>
      <c r="C235" s="94" t="s">
        <v>108</v>
      </c>
      <c r="D235" s="95"/>
      <c r="E235" s="27" t="s">
        <v>109</v>
      </c>
    </row>
    <row r="236" spans="1:5" x14ac:dyDescent="0.15">
      <c r="A236" s="27">
        <v>35</v>
      </c>
      <c r="B236" s="52" t="s">
        <v>110</v>
      </c>
      <c r="C236" s="94" t="s">
        <v>111</v>
      </c>
      <c r="D236" s="95"/>
      <c r="E236" s="27" t="s">
        <v>112</v>
      </c>
    </row>
    <row r="237" spans="1:5" x14ac:dyDescent="0.15">
      <c r="A237" s="27">
        <v>36</v>
      </c>
      <c r="B237" s="49" t="s">
        <v>95</v>
      </c>
      <c r="C237" s="94" t="s">
        <v>113</v>
      </c>
      <c r="D237" s="95"/>
      <c r="E237" s="27" t="s">
        <v>97</v>
      </c>
    </row>
    <row r="238" spans="1:5" x14ac:dyDescent="0.15">
      <c r="A238" s="27">
        <v>37</v>
      </c>
      <c r="B238" s="49" t="s">
        <v>96</v>
      </c>
      <c r="C238" s="94" t="s">
        <v>114</v>
      </c>
      <c r="D238" s="95"/>
      <c r="E238" s="27" t="s">
        <v>99</v>
      </c>
    </row>
    <row r="239" spans="1:5" ht="14.4" x14ac:dyDescent="0.3">
      <c r="A239" s="27">
        <v>38</v>
      </c>
      <c r="B239" s="49" t="s">
        <v>115</v>
      </c>
      <c r="C239" s="94" t="s">
        <v>116</v>
      </c>
      <c r="D239" s="95"/>
      <c r="E239" s="27" t="s">
        <v>86</v>
      </c>
    </row>
    <row r="240" spans="1:5" x14ac:dyDescent="0.15">
      <c r="A240" s="27">
        <v>39</v>
      </c>
      <c r="B240" s="53" t="s">
        <v>119</v>
      </c>
      <c r="C240" s="94" t="s">
        <v>118</v>
      </c>
      <c r="D240" s="95"/>
      <c r="E240" s="27" t="s">
        <v>120</v>
      </c>
    </row>
    <row r="241" spans="1:5" x14ac:dyDescent="0.15">
      <c r="A241" s="27">
        <v>40</v>
      </c>
      <c r="B241" s="53" t="s">
        <v>141</v>
      </c>
      <c r="C241" s="94" t="s">
        <v>142</v>
      </c>
      <c r="D241" s="95"/>
      <c r="E241" s="51" t="s">
        <v>109</v>
      </c>
    </row>
    <row r="242" spans="1:5" x14ac:dyDescent="0.15">
      <c r="A242" s="27">
        <v>41</v>
      </c>
      <c r="B242" s="49">
        <v>20220401</v>
      </c>
      <c r="C242" s="94" t="s">
        <v>121</v>
      </c>
      <c r="D242" s="95"/>
      <c r="E242" s="27" t="s">
        <v>61</v>
      </c>
    </row>
    <row r="243" spans="1:5" x14ac:dyDescent="0.15">
      <c r="A243" s="27">
        <v>42</v>
      </c>
      <c r="B243" s="49">
        <v>20220402</v>
      </c>
      <c r="C243" s="94" t="s">
        <v>122</v>
      </c>
      <c r="D243" s="95"/>
      <c r="E243" s="27" t="s">
        <v>61</v>
      </c>
    </row>
    <row r="244" spans="1:5" x14ac:dyDescent="0.15">
      <c r="A244" s="27">
        <v>43</v>
      </c>
      <c r="B244" s="52" t="s">
        <v>127</v>
      </c>
      <c r="C244" s="94" t="s">
        <v>128</v>
      </c>
      <c r="D244" s="95"/>
      <c r="E244" s="27" t="s">
        <v>129</v>
      </c>
    </row>
    <row r="245" spans="1:5" x14ac:dyDescent="0.15">
      <c r="A245" s="27">
        <v>44</v>
      </c>
      <c r="B245" s="52" t="s">
        <v>130</v>
      </c>
      <c r="C245" s="94" t="s">
        <v>131</v>
      </c>
      <c r="D245" s="95"/>
      <c r="E245" s="27" t="s">
        <v>132</v>
      </c>
    </row>
    <row r="246" spans="1:5" x14ac:dyDescent="0.15">
      <c r="A246" s="27">
        <v>45</v>
      </c>
      <c r="B246" s="52" t="s">
        <v>136</v>
      </c>
      <c r="C246" s="94" t="s">
        <v>137</v>
      </c>
      <c r="D246" s="95"/>
      <c r="E246" s="27" t="s">
        <v>138</v>
      </c>
    </row>
    <row r="247" spans="1:5" x14ac:dyDescent="0.15">
      <c r="A247" s="27">
        <v>46</v>
      </c>
      <c r="B247" s="52" t="s">
        <v>143</v>
      </c>
      <c r="C247" s="94" t="s">
        <v>144</v>
      </c>
      <c r="D247" s="95"/>
      <c r="E247" s="27" t="s">
        <v>145</v>
      </c>
    </row>
    <row r="248" spans="1:5" x14ac:dyDescent="0.15">
      <c r="A248" s="27">
        <v>47</v>
      </c>
      <c r="B248" s="52" t="s">
        <v>146</v>
      </c>
      <c r="C248" s="94" t="s">
        <v>147</v>
      </c>
      <c r="D248" s="95"/>
      <c r="E248" s="27" t="s">
        <v>145</v>
      </c>
    </row>
    <row r="249" spans="1:5" x14ac:dyDescent="0.15">
      <c r="A249" s="27">
        <v>48</v>
      </c>
      <c r="B249" s="52" t="s">
        <v>148</v>
      </c>
      <c r="C249" s="94" t="s">
        <v>149</v>
      </c>
      <c r="D249" s="95"/>
      <c r="E249" s="27" t="s">
        <v>145</v>
      </c>
    </row>
    <row r="250" spans="1:5" x14ac:dyDescent="0.15">
      <c r="A250" s="27">
        <v>49</v>
      </c>
      <c r="B250" s="52" t="s">
        <v>150</v>
      </c>
      <c r="C250" s="94" t="s">
        <v>151</v>
      </c>
      <c r="D250" s="95"/>
      <c r="E250" s="27" t="s">
        <v>154</v>
      </c>
    </row>
    <row r="251" spans="1:5" x14ac:dyDescent="0.15">
      <c r="A251" s="27">
        <v>50</v>
      </c>
      <c r="B251" s="52" t="s">
        <v>153</v>
      </c>
      <c r="C251" s="94" t="s">
        <v>152</v>
      </c>
      <c r="D251" s="95"/>
      <c r="E251" s="27" t="s">
        <v>154</v>
      </c>
    </row>
    <row r="252" spans="1:5" x14ac:dyDescent="0.15">
      <c r="A252" s="27">
        <v>51</v>
      </c>
      <c r="B252" s="52" t="s">
        <v>155</v>
      </c>
      <c r="C252" s="94" t="s">
        <v>156</v>
      </c>
      <c r="D252" s="95"/>
      <c r="E252" s="27" t="s">
        <v>126</v>
      </c>
    </row>
    <row r="253" spans="1:5" x14ac:dyDescent="0.15">
      <c r="A253" s="27">
        <v>52</v>
      </c>
      <c r="B253" s="52" t="s">
        <v>160</v>
      </c>
      <c r="C253" s="55" t="s">
        <v>158</v>
      </c>
      <c r="D253" s="56"/>
      <c r="E253" s="51" t="s">
        <v>159</v>
      </c>
    </row>
    <row r="254" spans="1:5" x14ac:dyDescent="0.15">
      <c r="A254" s="27">
        <v>53</v>
      </c>
      <c r="B254" s="52" t="s">
        <v>161</v>
      </c>
      <c r="C254" s="94" t="s">
        <v>162</v>
      </c>
      <c r="D254" s="95"/>
      <c r="E254" s="51" t="s">
        <v>163</v>
      </c>
    </row>
    <row r="255" spans="1:5" x14ac:dyDescent="0.15">
      <c r="A255" s="27">
        <v>54</v>
      </c>
      <c r="B255" s="52" t="s">
        <v>164</v>
      </c>
      <c r="C255" s="94" t="s">
        <v>165</v>
      </c>
      <c r="D255" s="95"/>
      <c r="E255" s="51" t="s">
        <v>166</v>
      </c>
    </row>
    <row r="256" spans="1:5" x14ac:dyDescent="0.15">
      <c r="A256" s="27">
        <v>55</v>
      </c>
      <c r="B256" s="52" t="s">
        <v>168</v>
      </c>
      <c r="C256" s="94" t="s">
        <v>169</v>
      </c>
      <c r="D256" s="95"/>
      <c r="E256" s="51" t="s">
        <v>170</v>
      </c>
    </row>
    <row r="257" spans="1:4" x14ac:dyDescent="0.15">
      <c r="A257" s="27"/>
      <c r="B257" s="49"/>
      <c r="C257" s="94"/>
      <c r="D257" s="95"/>
    </row>
    <row r="258" spans="1:4" x14ac:dyDescent="0.15">
      <c r="A258" s="27"/>
      <c r="B258" s="49"/>
      <c r="C258" s="94"/>
      <c r="D258" s="95"/>
    </row>
    <row r="259" spans="1:4" x14ac:dyDescent="0.15">
      <c r="A259" s="27"/>
      <c r="B259" s="49"/>
      <c r="C259" s="94"/>
      <c r="D259" s="95"/>
    </row>
    <row r="260" spans="1:4" x14ac:dyDescent="0.15">
      <c r="A260" s="27"/>
      <c r="B260" s="49"/>
      <c r="C260" s="94"/>
      <c r="D260" s="95"/>
    </row>
    <row r="261" spans="1:4" x14ac:dyDescent="0.15">
      <c r="A261" s="27"/>
      <c r="B261" s="49"/>
      <c r="C261" s="94"/>
      <c r="D261" s="95"/>
    </row>
    <row r="262" spans="1:4" x14ac:dyDescent="0.15">
      <c r="A262" s="27"/>
      <c r="B262" s="49"/>
      <c r="C262" s="94"/>
      <c r="D262" s="95"/>
    </row>
    <row r="263" spans="1:4" x14ac:dyDescent="0.15">
      <c r="A263" s="27"/>
      <c r="B263" s="49"/>
      <c r="C263" s="94"/>
      <c r="D263" s="95"/>
    </row>
    <row r="264" spans="1:4" x14ac:dyDescent="0.15">
      <c r="A264" s="27"/>
      <c r="B264" s="49"/>
      <c r="C264" s="94"/>
      <c r="D264" s="95"/>
    </row>
    <row r="265" spans="1:4" x14ac:dyDescent="0.15">
      <c r="A265" s="27"/>
      <c r="B265" s="49"/>
      <c r="C265" s="94"/>
      <c r="D265" s="95"/>
    </row>
    <row r="266" spans="1:4" x14ac:dyDescent="0.15">
      <c r="A266" s="27"/>
      <c r="B266" s="49"/>
      <c r="C266" s="94"/>
      <c r="D266" s="95"/>
    </row>
    <row r="267" spans="1:4" x14ac:dyDescent="0.15">
      <c r="A267" s="27"/>
      <c r="B267" s="49"/>
      <c r="C267" s="94"/>
      <c r="D267" s="95"/>
    </row>
    <row r="268" spans="1:4" x14ac:dyDescent="0.15">
      <c r="A268" s="27"/>
      <c r="B268" s="49"/>
      <c r="C268" s="94"/>
      <c r="D268" s="95"/>
    </row>
    <row r="269" spans="1:4" x14ac:dyDescent="0.15">
      <c r="A269" s="27"/>
      <c r="B269" s="49"/>
      <c r="C269" s="94"/>
      <c r="D269" s="95"/>
    </row>
    <row r="270" spans="1:4" x14ac:dyDescent="0.15">
      <c r="A270" s="27"/>
      <c r="B270" s="49"/>
      <c r="C270" s="94"/>
      <c r="D270" s="95"/>
    </row>
    <row r="271" spans="1:4" x14ac:dyDescent="0.15">
      <c r="A271" s="27"/>
      <c r="B271" s="49"/>
      <c r="C271" s="94"/>
      <c r="D271" s="95"/>
    </row>
    <row r="272" spans="1:4" x14ac:dyDescent="0.15">
      <c r="A272" s="27"/>
      <c r="B272" s="49"/>
      <c r="C272" s="94"/>
      <c r="D272" s="95"/>
    </row>
    <row r="273" spans="1:4" x14ac:dyDescent="0.15">
      <c r="A273" s="27"/>
      <c r="B273" s="49"/>
      <c r="C273" s="94"/>
      <c r="D273" s="95"/>
    </row>
    <row r="274" spans="1:4" x14ac:dyDescent="0.15">
      <c r="A274" s="27"/>
      <c r="B274" s="49"/>
      <c r="C274" s="94"/>
      <c r="D274" s="95"/>
    </row>
    <row r="275" spans="1:4" x14ac:dyDescent="0.15">
      <c r="A275" s="27"/>
      <c r="B275" s="49"/>
      <c r="C275" s="94"/>
      <c r="D275" s="95"/>
    </row>
    <row r="276" spans="1:4" x14ac:dyDescent="0.15">
      <c r="A276" s="27"/>
      <c r="B276" s="49"/>
      <c r="C276" s="94"/>
      <c r="D276" s="95"/>
    </row>
    <row r="277" spans="1:4" x14ac:dyDescent="0.15">
      <c r="A277" s="27"/>
      <c r="B277" s="49"/>
      <c r="C277" s="94"/>
      <c r="D277" s="95"/>
    </row>
    <row r="278" spans="1:4" x14ac:dyDescent="0.15">
      <c r="A278" s="27"/>
      <c r="B278" s="49"/>
      <c r="C278" s="94"/>
      <c r="D278" s="95"/>
    </row>
    <row r="279" spans="1:4" x14ac:dyDescent="0.15">
      <c r="A279" s="27"/>
      <c r="B279" s="49"/>
      <c r="C279" s="94"/>
      <c r="D279" s="95"/>
    </row>
    <row r="280" spans="1:4" x14ac:dyDescent="0.15">
      <c r="A280" s="27"/>
      <c r="B280" s="49"/>
      <c r="C280" s="94"/>
      <c r="D280" s="95"/>
    </row>
    <row r="281" spans="1:4" x14ac:dyDescent="0.15">
      <c r="A281" s="27"/>
      <c r="B281" s="49"/>
      <c r="C281" s="94"/>
      <c r="D281" s="95"/>
    </row>
    <row r="282" spans="1:4" x14ac:dyDescent="0.15">
      <c r="A282" s="27"/>
      <c r="B282" s="49"/>
      <c r="C282" s="94"/>
      <c r="D282" s="95"/>
    </row>
    <row r="283" spans="1:4" x14ac:dyDescent="0.15">
      <c r="A283" s="27"/>
      <c r="B283" s="49"/>
      <c r="C283" s="94"/>
      <c r="D283" s="95"/>
    </row>
    <row r="284" spans="1:4" x14ac:dyDescent="0.15">
      <c r="A284" s="27"/>
      <c r="B284" s="49"/>
      <c r="C284" s="94"/>
      <c r="D284" s="95"/>
    </row>
    <row r="285" spans="1:4" x14ac:dyDescent="0.15">
      <c r="A285" s="27"/>
      <c r="B285" s="49"/>
      <c r="C285" s="94"/>
      <c r="D285" s="95"/>
    </row>
    <row r="286" spans="1:4" x14ac:dyDescent="0.15">
      <c r="A286" s="27"/>
      <c r="B286" s="49"/>
      <c r="C286" s="94"/>
      <c r="D286" s="95"/>
    </row>
    <row r="287" spans="1:4" x14ac:dyDescent="0.15">
      <c r="A287" s="27"/>
      <c r="B287" s="49"/>
      <c r="C287" s="94"/>
      <c r="D287" s="95"/>
    </row>
    <row r="288" spans="1:4" x14ac:dyDescent="0.15">
      <c r="A288" s="27"/>
      <c r="B288" s="49"/>
      <c r="C288" s="94"/>
      <c r="D288" s="95"/>
    </row>
    <row r="289" spans="1:4" x14ac:dyDescent="0.15">
      <c r="A289" s="27"/>
      <c r="B289" s="49"/>
      <c r="C289" s="94"/>
      <c r="D289" s="95"/>
    </row>
    <row r="290" spans="1:4" x14ac:dyDescent="0.15">
      <c r="A290" s="27"/>
      <c r="B290" s="49"/>
      <c r="C290" s="94"/>
      <c r="D290" s="95"/>
    </row>
    <row r="291" spans="1:4" x14ac:dyDescent="0.15">
      <c r="A291" s="27"/>
      <c r="B291" s="49"/>
      <c r="C291" s="94"/>
      <c r="D291" s="95"/>
    </row>
    <row r="292" spans="1:4" x14ac:dyDescent="0.15">
      <c r="A292" s="27"/>
      <c r="B292" s="49"/>
      <c r="C292" s="94"/>
      <c r="D292" s="95"/>
    </row>
    <row r="293" spans="1:4" x14ac:dyDescent="0.15">
      <c r="A293" s="27"/>
      <c r="B293" s="49"/>
      <c r="C293" s="94"/>
      <c r="D293" s="95"/>
    </row>
    <row r="294" spans="1:4" x14ac:dyDescent="0.15">
      <c r="A294" s="27"/>
      <c r="B294" s="49"/>
      <c r="C294" s="94"/>
      <c r="D294" s="95"/>
    </row>
    <row r="295" spans="1:4" x14ac:dyDescent="0.15">
      <c r="A295" s="27"/>
      <c r="B295" s="49"/>
      <c r="C295" s="94"/>
      <c r="D295" s="95"/>
    </row>
    <row r="296" spans="1:4" x14ac:dyDescent="0.15">
      <c r="A296" s="27"/>
      <c r="B296" s="49"/>
      <c r="C296" s="94"/>
      <c r="D296" s="95"/>
    </row>
    <row r="297" spans="1:4" x14ac:dyDescent="0.15">
      <c r="A297" s="27"/>
      <c r="B297" s="49"/>
      <c r="C297" s="94"/>
      <c r="D297" s="95"/>
    </row>
    <row r="298" spans="1:4" x14ac:dyDescent="0.15">
      <c r="A298" s="27"/>
      <c r="B298" s="49"/>
      <c r="C298" s="94"/>
      <c r="D298" s="95"/>
    </row>
    <row r="299" spans="1:4" x14ac:dyDescent="0.15">
      <c r="A299" s="27"/>
      <c r="B299" s="49"/>
      <c r="C299" s="94"/>
      <c r="D299" s="95"/>
    </row>
    <row r="300" spans="1:4" x14ac:dyDescent="0.15">
      <c r="A300" s="27"/>
      <c r="B300" s="49"/>
      <c r="C300" s="94"/>
      <c r="D300" s="95"/>
    </row>
    <row r="301" spans="1:4" x14ac:dyDescent="0.15">
      <c r="A301" s="27"/>
      <c r="B301" s="49"/>
      <c r="C301" s="94"/>
      <c r="D301" s="95"/>
    </row>
    <row r="302" spans="1:4" x14ac:dyDescent="0.15">
      <c r="A302" s="27"/>
      <c r="B302" s="49"/>
      <c r="C302" s="94"/>
      <c r="D302" s="95"/>
    </row>
    <row r="303" spans="1:4" x14ac:dyDescent="0.15">
      <c r="A303" s="27"/>
      <c r="B303" s="49"/>
      <c r="C303" s="94"/>
      <c r="D303" s="95"/>
    </row>
    <row r="304" spans="1:4" x14ac:dyDescent="0.15">
      <c r="A304" s="27"/>
      <c r="B304" s="49"/>
      <c r="C304" s="94"/>
      <c r="D304" s="95"/>
    </row>
    <row r="305" spans="1:4" x14ac:dyDescent="0.15">
      <c r="A305" s="27"/>
      <c r="B305" s="49"/>
      <c r="C305" s="94"/>
      <c r="D305" s="95"/>
    </row>
    <row r="306" spans="1:4" x14ac:dyDescent="0.15">
      <c r="A306" s="27"/>
      <c r="B306" s="49"/>
      <c r="C306" s="94"/>
      <c r="D306" s="95"/>
    </row>
    <row r="307" spans="1:4" x14ac:dyDescent="0.15">
      <c r="A307" s="27"/>
      <c r="B307" s="49"/>
      <c r="C307" s="94"/>
      <c r="D307" s="95"/>
    </row>
    <row r="308" spans="1:4" x14ac:dyDescent="0.15">
      <c r="A308" s="27"/>
      <c r="B308" s="49"/>
      <c r="C308" s="94"/>
      <c r="D308" s="95"/>
    </row>
    <row r="309" spans="1:4" x14ac:dyDescent="0.15">
      <c r="A309" s="27"/>
      <c r="B309" s="49"/>
      <c r="C309" s="94"/>
      <c r="D309" s="95"/>
    </row>
    <row r="310" spans="1:4" x14ac:dyDescent="0.15">
      <c r="A310" s="27"/>
      <c r="B310" s="49"/>
      <c r="C310" s="94"/>
      <c r="D310" s="95"/>
    </row>
    <row r="311" spans="1:4" x14ac:dyDescent="0.15">
      <c r="A311" s="27"/>
      <c r="B311" s="49"/>
      <c r="C311" s="94"/>
      <c r="D311" s="95"/>
    </row>
    <row r="312" spans="1:4" x14ac:dyDescent="0.15">
      <c r="A312" s="27"/>
      <c r="B312" s="49"/>
      <c r="C312" s="94"/>
      <c r="D312" s="95"/>
    </row>
    <row r="313" spans="1:4" x14ac:dyDescent="0.15">
      <c r="A313" s="27"/>
      <c r="B313" s="49"/>
      <c r="C313" s="94"/>
      <c r="D313" s="95"/>
    </row>
    <row r="314" spans="1:4" x14ac:dyDescent="0.15">
      <c r="A314" s="27"/>
      <c r="B314" s="49"/>
      <c r="C314" s="94"/>
      <c r="D314" s="95"/>
    </row>
    <row r="315" spans="1:4" x14ac:dyDescent="0.15">
      <c r="A315" s="27"/>
      <c r="B315" s="49"/>
      <c r="C315" s="94"/>
      <c r="D315" s="95"/>
    </row>
    <row r="316" spans="1:4" x14ac:dyDescent="0.15">
      <c r="A316" s="27"/>
      <c r="B316" s="49"/>
      <c r="C316" s="94"/>
      <c r="D316" s="95"/>
    </row>
    <row r="317" spans="1:4" x14ac:dyDescent="0.15">
      <c r="A317" s="27"/>
      <c r="B317" s="49"/>
      <c r="C317" s="94"/>
      <c r="D317" s="95"/>
    </row>
    <row r="318" spans="1:4" x14ac:dyDescent="0.15">
      <c r="A318" s="27"/>
      <c r="B318" s="49"/>
      <c r="C318" s="94"/>
      <c r="D318" s="95"/>
    </row>
    <row r="319" spans="1:4" x14ac:dyDescent="0.15">
      <c r="A319" s="27"/>
      <c r="B319" s="49"/>
      <c r="C319" s="94"/>
      <c r="D319" s="95"/>
    </row>
    <row r="320" spans="1:4" x14ac:dyDescent="0.15">
      <c r="A320" s="27"/>
      <c r="B320" s="49"/>
      <c r="C320" s="94"/>
      <c r="D320" s="95"/>
    </row>
    <row r="321" spans="1:4" x14ac:dyDescent="0.15">
      <c r="A321" s="27"/>
      <c r="B321" s="49"/>
      <c r="C321" s="94"/>
      <c r="D321" s="95"/>
    </row>
    <row r="322" spans="1:4" x14ac:dyDescent="0.15">
      <c r="A322" s="27"/>
      <c r="B322" s="49"/>
      <c r="C322" s="94"/>
      <c r="D322" s="95"/>
    </row>
    <row r="323" spans="1:4" x14ac:dyDescent="0.15">
      <c r="A323" s="27"/>
      <c r="B323" s="49"/>
      <c r="C323" s="94"/>
      <c r="D323" s="95"/>
    </row>
    <row r="324" spans="1:4" x14ac:dyDescent="0.15">
      <c r="A324" s="27"/>
      <c r="B324" s="49"/>
      <c r="C324" s="94"/>
      <c r="D324" s="95"/>
    </row>
    <row r="325" spans="1:4" x14ac:dyDescent="0.15">
      <c r="A325" s="27"/>
      <c r="B325" s="49"/>
      <c r="C325" s="94"/>
      <c r="D325" s="95"/>
    </row>
    <row r="326" spans="1:4" x14ac:dyDescent="0.15">
      <c r="A326" s="27"/>
      <c r="B326" s="49"/>
      <c r="C326" s="94"/>
      <c r="D326" s="95"/>
    </row>
    <row r="327" spans="1:4" x14ac:dyDescent="0.15">
      <c r="A327" s="27"/>
      <c r="B327" s="49"/>
      <c r="C327" s="94"/>
      <c r="D327" s="95"/>
    </row>
    <row r="328" spans="1:4" x14ac:dyDescent="0.15">
      <c r="A328" s="27"/>
      <c r="B328" s="49"/>
      <c r="C328" s="94"/>
      <c r="D328" s="95"/>
    </row>
    <row r="329" spans="1:4" x14ac:dyDescent="0.15">
      <c r="A329" s="27"/>
      <c r="B329" s="49"/>
      <c r="C329" s="94"/>
      <c r="D329" s="95"/>
    </row>
    <row r="330" spans="1:4" x14ac:dyDescent="0.15">
      <c r="A330" s="27"/>
      <c r="B330" s="49"/>
      <c r="C330" s="94"/>
      <c r="D330" s="95"/>
    </row>
    <row r="331" spans="1:4" x14ac:dyDescent="0.15">
      <c r="A331" s="27"/>
      <c r="B331" s="49"/>
      <c r="C331" s="94"/>
      <c r="D331" s="95"/>
    </row>
    <row r="332" spans="1:4" x14ac:dyDescent="0.15">
      <c r="A332" s="27"/>
      <c r="B332" s="49"/>
      <c r="C332" s="94"/>
      <c r="D332" s="95"/>
    </row>
    <row r="333" spans="1:4" x14ac:dyDescent="0.15">
      <c r="A333" s="27"/>
      <c r="B333" s="49"/>
      <c r="C333" s="94"/>
      <c r="D333" s="95"/>
    </row>
    <row r="334" spans="1:4" x14ac:dyDescent="0.15">
      <c r="A334" s="27"/>
      <c r="B334" s="49"/>
      <c r="C334" s="94"/>
      <c r="D334" s="95"/>
    </row>
    <row r="335" spans="1:4" x14ac:dyDescent="0.15">
      <c r="A335" s="27"/>
      <c r="B335" s="49"/>
      <c r="C335" s="94"/>
      <c r="D335" s="95"/>
    </row>
    <row r="336" spans="1:4" x14ac:dyDescent="0.15">
      <c r="A336" s="27"/>
      <c r="B336" s="49"/>
      <c r="C336" s="94"/>
      <c r="D336" s="95"/>
    </row>
    <row r="337" spans="1:4" x14ac:dyDescent="0.15">
      <c r="A337" s="27"/>
      <c r="B337" s="49"/>
      <c r="C337" s="94"/>
      <c r="D337" s="95"/>
    </row>
    <row r="338" spans="1:4" x14ac:dyDescent="0.15">
      <c r="A338" s="27"/>
      <c r="B338" s="49"/>
      <c r="C338" s="94"/>
      <c r="D338" s="95"/>
    </row>
    <row r="339" spans="1:4" x14ac:dyDescent="0.15">
      <c r="A339" s="27"/>
      <c r="B339" s="49"/>
      <c r="C339" s="94"/>
      <c r="D339" s="95"/>
    </row>
    <row r="340" spans="1:4" x14ac:dyDescent="0.15">
      <c r="A340" s="27"/>
      <c r="B340" s="49"/>
      <c r="C340" s="94"/>
      <c r="D340" s="95"/>
    </row>
    <row r="341" spans="1:4" x14ac:dyDescent="0.15">
      <c r="A341" s="27"/>
      <c r="B341" s="49"/>
      <c r="C341" s="94"/>
      <c r="D341" s="95"/>
    </row>
    <row r="342" spans="1:4" x14ac:dyDescent="0.15">
      <c r="A342" s="27"/>
      <c r="B342" s="49"/>
      <c r="C342" s="94"/>
      <c r="D342" s="95"/>
    </row>
    <row r="343" spans="1:4" x14ac:dyDescent="0.15">
      <c r="A343" s="27"/>
      <c r="B343" s="49"/>
      <c r="C343" s="94"/>
      <c r="D343" s="95"/>
    </row>
    <row r="344" spans="1:4" x14ac:dyDescent="0.15">
      <c r="A344" s="27"/>
      <c r="B344" s="49"/>
      <c r="C344" s="94"/>
      <c r="D344" s="95"/>
    </row>
    <row r="345" spans="1:4" x14ac:dyDescent="0.15">
      <c r="A345" s="27"/>
      <c r="B345" s="49"/>
      <c r="C345" s="94"/>
      <c r="D345" s="95"/>
    </row>
    <row r="346" spans="1:4" x14ac:dyDescent="0.15">
      <c r="A346" s="27"/>
      <c r="B346" s="49"/>
      <c r="C346" s="94"/>
      <c r="D346" s="95"/>
    </row>
    <row r="347" spans="1:4" x14ac:dyDescent="0.15">
      <c r="A347" s="27"/>
      <c r="B347" s="49"/>
      <c r="C347" s="94"/>
      <c r="D347" s="95"/>
    </row>
    <row r="348" spans="1:4" x14ac:dyDescent="0.15">
      <c r="A348" s="27"/>
      <c r="B348" s="49"/>
      <c r="C348" s="94"/>
      <c r="D348" s="95"/>
    </row>
    <row r="349" spans="1:4" x14ac:dyDescent="0.15">
      <c r="A349" s="27"/>
      <c r="B349" s="49"/>
      <c r="C349" s="94"/>
      <c r="D349" s="95"/>
    </row>
    <row r="350" spans="1:4" x14ac:dyDescent="0.15">
      <c r="A350" s="27"/>
      <c r="B350" s="49"/>
      <c r="C350" s="94"/>
      <c r="D350" s="95"/>
    </row>
    <row r="351" spans="1:4" x14ac:dyDescent="0.15">
      <c r="A351" s="27"/>
      <c r="B351" s="49"/>
      <c r="C351" s="94"/>
      <c r="D351" s="95"/>
    </row>
    <row r="352" spans="1:4" x14ac:dyDescent="0.15">
      <c r="A352" s="27"/>
      <c r="B352" s="49"/>
      <c r="C352" s="94"/>
      <c r="D352" s="95"/>
    </row>
    <row r="353" spans="1:4" x14ac:dyDescent="0.15">
      <c r="A353" s="27"/>
      <c r="B353" s="49"/>
      <c r="C353" s="94"/>
      <c r="D353" s="95"/>
    </row>
    <row r="354" spans="1:4" x14ac:dyDescent="0.15">
      <c r="A354" s="27"/>
      <c r="B354" s="49"/>
      <c r="C354" s="94"/>
      <c r="D354" s="95"/>
    </row>
    <row r="355" spans="1:4" x14ac:dyDescent="0.15">
      <c r="A355" s="27"/>
      <c r="B355" s="49"/>
      <c r="C355" s="94"/>
      <c r="D355" s="95"/>
    </row>
    <row r="356" spans="1:4" x14ac:dyDescent="0.15">
      <c r="A356" s="27"/>
      <c r="B356" s="49"/>
      <c r="C356" s="94"/>
      <c r="D356" s="95"/>
    </row>
    <row r="357" spans="1:4" x14ac:dyDescent="0.15">
      <c r="A357" s="27"/>
      <c r="B357" s="49"/>
      <c r="C357" s="94"/>
      <c r="D357" s="95"/>
    </row>
    <row r="358" spans="1:4" x14ac:dyDescent="0.15">
      <c r="A358" s="27"/>
      <c r="B358" s="49"/>
      <c r="C358" s="94"/>
      <c r="D358" s="95"/>
    </row>
    <row r="359" spans="1:4" x14ac:dyDescent="0.15">
      <c r="A359" s="27"/>
      <c r="B359" s="49"/>
      <c r="C359" s="94"/>
      <c r="D359" s="95"/>
    </row>
    <row r="360" spans="1:4" x14ac:dyDescent="0.15">
      <c r="A360" s="27"/>
      <c r="B360" s="49"/>
      <c r="C360" s="94"/>
      <c r="D360" s="95"/>
    </row>
    <row r="361" spans="1:4" x14ac:dyDescent="0.15">
      <c r="A361" s="27"/>
      <c r="B361" s="49"/>
      <c r="C361" s="94"/>
      <c r="D361" s="95"/>
    </row>
    <row r="362" spans="1:4" x14ac:dyDescent="0.15">
      <c r="A362" s="27"/>
      <c r="B362" s="49"/>
      <c r="C362" s="94"/>
      <c r="D362" s="95"/>
    </row>
    <row r="363" spans="1:4" x14ac:dyDescent="0.15">
      <c r="A363" s="27"/>
      <c r="B363" s="49"/>
      <c r="C363" s="94"/>
      <c r="D363" s="95"/>
    </row>
    <row r="364" spans="1:4" x14ac:dyDescent="0.15">
      <c r="A364" s="27"/>
      <c r="B364" s="49"/>
      <c r="C364" s="94"/>
      <c r="D364" s="95"/>
    </row>
    <row r="365" spans="1:4" x14ac:dyDescent="0.15">
      <c r="A365" s="27"/>
      <c r="B365" s="49"/>
      <c r="C365" s="94"/>
      <c r="D365" s="95"/>
    </row>
    <row r="366" spans="1:4" x14ac:dyDescent="0.15">
      <c r="A366" s="27"/>
      <c r="B366" s="49"/>
      <c r="C366" s="94"/>
      <c r="D366" s="95"/>
    </row>
    <row r="367" spans="1:4" x14ac:dyDescent="0.15">
      <c r="A367" s="27"/>
      <c r="B367" s="49"/>
      <c r="C367" s="94"/>
      <c r="D367" s="95"/>
    </row>
    <row r="368" spans="1:4" x14ac:dyDescent="0.15">
      <c r="A368" s="27"/>
      <c r="B368" s="49"/>
      <c r="C368" s="94"/>
      <c r="D368" s="95"/>
    </row>
    <row r="369" spans="1:4" x14ac:dyDescent="0.15">
      <c r="A369" s="27"/>
      <c r="B369" s="49"/>
      <c r="C369" s="94"/>
      <c r="D369" s="95"/>
    </row>
    <row r="370" spans="1:4" x14ac:dyDescent="0.15">
      <c r="A370" s="27"/>
      <c r="B370" s="49"/>
      <c r="C370" s="94"/>
      <c r="D370" s="95"/>
    </row>
    <row r="371" spans="1:4" x14ac:dyDescent="0.15">
      <c r="A371" s="27"/>
      <c r="B371" s="49"/>
      <c r="C371" s="94"/>
      <c r="D371" s="95"/>
    </row>
    <row r="372" spans="1:4" x14ac:dyDescent="0.15">
      <c r="A372" s="27"/>
      <c r="B372" s="49"/>
      <c r="C372" s="94"/>
      <c r="D372" s="95"/>
    </row>
    <row r="373" spans="1:4" x14ac:dyDescent="0.15">
      <c r="A373" s="27"/>
      <c r="B373" s="49"/>
      <c r="C373" s="94"/>
      <c r="D373" s="95"/>
    </row>
    <row r="374" spans="1:4" x14ac:dyDescent="0.15">
      <c r="A374" s="27"/>
      <c r="B374" s="49"/>
      <c r="C374" s="94"/>
      <c r="D374" s="95"/>
    </row>
    <row r="375" spans="1:4" x14ac:dyDescent="0.15">
      <c r="A375" s="27"/>
      <c r="B375" s="49"/>
      <c r="C375" s="94"/>
      <c r="D375" s="95"/>
    </row>
    <row r="376" spans="1:4" x14ac:dyDescent="0.15">
      <c r="A376" s="27"/>
      <c r="B376" s="49"/>
      <c r="C376" s="94"/>
      <c r="D376" s="95"/>
    </row>
    <row r="377" spans="1:4" x14ac:dyDescent="0.15">
      <c r="A377" s="27"/>
      <c r="B377" s="49"/>
      <c r="C377" s="94"/>
      <c r="D377" s="95"/>
    </row>
    <row r="378" spans="1:4" x14ac:dyDescent="0.15">
      <c r="A378" s="27"/>
      <c r="B378" s="49"/>
      <c r="C378" s="94"/>
      <c r="D378" s="95"/>
    </row>
    <row r="379" spans="1:4" x14ac:dyDescent="0.15">
      <c r="A379" s="27"/>
      <c r="B379" s="49"/>
      <c r="C379" s="94"/>
      <c r="D379" s="95"/>
    </row>
    <row r="380" spans="1:4" x14ac:dyDescent="0.15">
      <c r="A380" s="27"/>
      <c r="B380" s="49"/>
      <c r="C380" s="94"/>
      <c r="D380" s="95"/>
    </row>
    <row r="381" spans="1:4" x14ac:dyDescent="0.15">
      <c r="A381" s="27"/>
      <c r="B381" s="49"/>
      <c r="C381" s="94"/>
      <c r="D381" s="95"/>
    </row>
    <row r="382" spans="1:4" x14ac:dyDescent="0.15">
      <c r="A382" s="27"/>
      <c r="B382" s="49"/>
      <c r="C382" s="94"/>
      <c r="D382" s="95"/>
    </row>
    <row r="383" spans="1:4" x14ac:dyDescent="0.15">
      <c r="A383" s="27"/>
      <c r="B383" s="49"/>
      <c r="C383" s="94"/>
      <c r="D383" s="95"/>
    </row>
    <row r="384" spans="1:4" x14ac:dyDescent="0.15">
      <c r="A384" s="27"/>
      <c r="B384" s="49"/>
      <c r="C384" s="94"/>
      <c r="D384" s="95"/>
    </row>
    <row r="385" spans="1:4" x14ac:dyDescent="0.15">
      <c r="A385" s="27"/>
      <c r="B385" s="49"/>
      <c r="C385" s="94"/>
      <c r="D385" s="95"/>
    </row>
    <row r="386" spans="1:4" x14ac:dyDescent="0.15">
      <c r="A386" s="27"/>
      <c r="B386" s="49"/>
      <c r="C386" s="94"/>
      <c r="D386" s="95"/>
    </row>
    <row r="387" spans="1:4" x14ac:dyDescent="0.15">
      <c r="A387" s="27"/>
      <c r="B387" s="49"/>
      <c r="C387" s="94"/>
      <c r="D387" s="95"/>
    </row>
    <row r="388" spans="1:4" x14ac:dyDescent="0.15">
      <c r="A388" s="27"/>
      <c r="B388" s="49"/>
      <c r="C388" s="94"/>
      <c r="D388" s="95"/>
    </row>
    <row r="389" spans="1:4" x14ac:dyDescent="0.15">
      <c r="A389" s="27"/>
      <c r="B389" s="49"/>
      <c r="C389" s="94"/>
      <c r="D389" s="95"/>
    </row>
    <row r="390" spans="1:4" x14ac:dyDescent="0.15">
      <c r="A390" s="27"/>
      <c r="B390" s="49"/>
      <c r="C390" s="94"/>
      <c r="D390" s="95"/>
    </row>
    <row r="391" spans="1:4" x14ac:dyDescent="0.15">
      <c r="A391" s="27"/>
      <c r="B391" s="49"/>
      <c r="C391" s="94"/>
      <c r="D391" s="95"/>
    </row>
    <row r="392" spans="1:4" x14ac:dyDescent="0.15">
      <c r="A392" s="27"/>
      <c r="B392" s="49"/>
      <c r="C392" s="94"/>
      <c r="D392" s="95"/>
    </row>
    <row r="393" spans="1:4" x14ac:dyDescent="0.15">
      <c r="A393" s="27"/>
      <c r="B393" s="49"/>
      <c r="C393" s="94"/>
      <c r="D393" s="95"/>
    </row>
    <row r="394" spans="1:4" x14ac:dyDescent="0.15">
      <c r="A394" s="27"/>
      <c r="B394" s="49"/>
      <c r="C394" s="94"/>
      <c r="D394" s="95"/>
    </row>
    <row r="395" spans="1:4" x14ac:dyDescent="0.15">
      <c r="A395" s="27"/>
      <c r="B395" s="49"/>
      <c r="C395" s="94"/>
      <c r="D395" s="95"/>
    </row>
    <row r="396" spans="1:4" x14ac:dyDescent="0.15">
      <c r="A396" s="27"/>
      <c r="B396" s="49"/>
      <c r="C396" s="94"/>
      <c r="D396" s="95"/>
    </row>
    <row r="397" spans="1:4" x14ac:dyDescent="0.15">
      <c r="A397" s="27"/>
      <c r="B397" s="49"/>
      <c r="C397" s="94"/>
      <c r="D397" s="95"/>
    </row>
    <row r="398" spans="1:4" x14ac:dyDescent="0.15">
      <c r="A398" s="27"/>
      <c r="B398" s="49"/>
      <c r="C398" s="94"/>
      <c r="D398" s="95"/>
    </row>
    <row r="399" spans="1:4" x14ac:dyDescent="0.15">
      <c r="A399" s="27"/>
      <c r="B399" s="49"/>
      <c r="C399" s="94"/>
      <c r="D399" s="95"/>
    </row>
    <row r="400" spans="1:4" x14ac:dyDescent="0.15">
      <c r="A400" s="27"/>
      <c r="B400" s="49"/>
      <c r="C400" s="94"/>
      <c r="D400" s="95"/>
    </row>
    <row r="401" spans="1:4" x14ac:dyDescent="0.15">
      <c r="A401" s="27"/>
      <c r="B401" s="49"/>
      <c r="C401" s="94"/>
      <c r="D401" s="95"/>
    </row>
    <row r="402" spans="1:4" x14ac:dyDescent="0.15">
      <c r="A402" s="27"/>
      <c r="B402" s="49"/>
      <c r="C402" s="94"/>
      <c r="D402" s="95"/>
    </row>
    <row r="403" spans="1:4" x14ac:dyDescent="0.15">
      <c r="A403" s="27"/>
      <c r="B403" s="49"/>
      <c r="C403" s="94"/>
      <c r="D403" s="95"/>
    </row>
    <row r="404" spans="1:4" x14ac:dyDescent="0.15">
      <c r="A404" s="27"/>
      <c r="B404" s="49"/>
      <c r="C404" s="94"/>
      <c r="D404" s="95"/>
    </row>
    <row r="405" spans="1:4" x14ac:dyDescent="0.15">
      <c r="A405" s="27"/>
      <c r="B405" s="49"/>
      <c r="C405" s="94"/>
      <c r="D405" s="95"/>
    </row>
    <row r="406" spans="1:4" x14ac:dyDescent="0.15">
      <c r="A406" s="27"/>
      <c r="B406" s="49"/>
      <c r="C406" s="94"/>
      <c r="D406" s="95"/>
    </row>
    <row r="407" spans="1:4" x14ac:dyDescent="0.15">
      <c r="A407" s="27"/>
      <c r="B407" s="49"/>
      <c r="C407" s="94"/>
      <c r="D407" s="95"/>
    </row>
    <row r="408" spans="1:4" x14ac:dyDescent="0.15">
      <c r="A408" s="27"/>
      <c r="B408" s="49"/>
      <c r="C408" s="94"/>
      <c r="D408" s="95"/>
    </row>
    <row r="409" spans="1:4" x14ac:dyDescent="0.15">
      <c r="A409" s="27"/>
      <c r="B409" s="49"/>
      <c r="C409" s="94"/>
      <c r="D409" s="95"/>
    </row>
    <row r="410" spans="1:4" x14ac:dyDescent="0.15">
      <c r="A410" s="27"/>
      <c r="B410" s="49"/>
      <c r="C410" s="94"/>
      <c r="D410" s="95"/>
    </row>
    <row r="411" spans="1:4" x14ac:dyDescent="0.15">
      <c r="A411" s="27"/>
      <c r="B411" s="49"/>
      <c r="C411" s="94"/>
      <c r="D411" s="95"/>
    </row>
  </sheetData>
  <mergeCells count="198">
    <mergeCell ref="F13:I13"/>
    <mergeCell ref="C201:D201"/>
    <mergeCell ref="C202:D202"/>
    <mergeCell ref="C203:D203"/>
    <mergeCell ref="C204:D204"/>
    <mergeCell ref="C210:D210"/>
    <mergeCell ref="C225:D225"/>
    <mergeCell ref="C226:D226"/>
    <mergeCell ref="C227:D227"/>
    <mergeCell ref="C228:D228"/>
    <mergeCell ref="C229:D229"/>
    <mergeCell ref="C230:D230"/>
    <mergeCell ref="C218:D218"/>
    <mergeCell ref="C220:D220"/>
    <mergeCell ref="C221:D221"/>
    <mergeCell ref="C222:D222"/>
    <mergeCell ref="C223:D223"/>
    <mergeCell ref="C224:D224"/>
    <mergeCell ref="C237:D237"/>
    <mergeCell ref="C238:D238"/>
    <mergeCell ref="C239:D239"/>
    <mergeCell ref="C240:D240"/>
    <mergeCell ref="C241:D241"/>
    <mergeCell ref="C242:D242"/>
    <mergeCell ref="C231:D231"/>
    <mergeCell ref="C232:D232"/>
    <mergeCell ref="C233:D233"/>
    <mergeCell ref="C234:D234"/>
    <mergeCell ref="C235:D235"/>
    <mergeCell ref="C236:D236"/>
    <mergeCell ref="C249:D249"/>
    <mergeCell ref="C250:D250"/>
    <mergeCell ref="C251:D251"/>
    <mergeCell ref="C252:D252"/>
    <mergeCell ref="C254:D254"/>
    <mergeCell ref="C255:D255"/>
    <mergeCell ref="C243:D243"/>
    <mergeCell ref="C244:D244"/>
    <mergeCell ref="C245:D245"/>
    <mergeCell ref="C246:D246"/>
    <mergeCell ref="C247:D247"/>
    <mergeCell ref="C248:D248"/>
    <mergeCell ref="C262:D262"/>
    <mergeCell ref="C263:D263"/>
    <mergeCell ref="C264:D264"/>
    <mergeCell ref="C265:D265"/>
    <mergeCell ref="C266:D266"/>
    <mergeCell ref="C267:D267"/>
    <mergeCell ref="C256:D256"/>
    <mergeCell ref="C257:D257"/>
    <mergeCell ref="C258:D258"/>
    <mergeCell ref="C259:D259"/>
    <mergeCell ref="C260:D260"/>
    <mergeCell ref="C261:D261"/>
    <mergeCell ref="C274:D274"/>
    <mergeCell ref="C275:D275"/>
    <mergeCell ref="C276:D276"/>
    <mergeCell ref="C277:D277"/>
    <mergeCell ref="C278:D278"/>
    <mergeCell ref="C279:D279"/>
    <mergeCell ref="C268:D268"/>
    <mergeCell ref="C269:D269"/>
    <mergeCell ref="C270:D270"/>
    <mergeCell ref="C271:D271"/>
    <mergeCell ref="C272:D272"/>
    <mergeCell ref="C273:D273"/>
    <mergeCell ref="C286:D286"/>
    <mergeCell ref="C287:D287"/>
    <mergeCell ref="C288:D288"/>
    <mergeCell ref="C289:D289"/>
    <mergeCell ref="C290:D290"/>
    <mergeCell ref="C291:D291"/>
    <mergeCell ref="C280:D280"/>
    <mergeCell ref="C281:D281"/>
    <mergeCell ref="C282:D282"/>
    <mergeCell ref="C283:D283"/>
    <mergeCell ref="C284:D284"/>
    <mergeCell ref="C285:D285"/>
    <mergeCell ref="C298:D298"/>
    <mergeCell ref="C299:D299"/>
    <mergeCell ref="C300:D300"/>
    <mergeCell ref="C301:D301"/>
    <mergeCell ref="C302:D302"/>
    <mergeCell ref="C303:D303"/>
    <mergeCell ref="C292:D292"/>
    <mergeCell ref="C293:D293"/>
    <mergeCell ref="C294:D294"/>
    <mergeCell ref="C295:D295"/>
    <mergeCell ref="C296:D296"/>
    <mergeCell ref="C297:D297"/>
    <mergeCell ref="C310:D310"/>
    <mergeCell ref="C311:D311"/>
    <mergeCell ref="C312:D312"/>
    <mergeCell ref="C313:D313"/>
    <mergeCell ref="C314:D314"/>
    <mergeCell ref="C315:D315"/>
    <mergeCell ref="C304:D304"/>
    <mergeCell ref="C305:D305"/>
    <mergeCell ref="C306:D306"/>
    <mergeCell ref="C307:D307"/>
    <mergeCell ref="C308:D308"/>
    <mergeCell ref="C309:D309"/>
    <mergeCell ref="C322:D322"/>
    <mergeCell ref="C323:D323"/>
    <mergeCell ref="C324:D324"/>
    <mergeCell ref="C325:D325"/>
    <mergeCell ref="C326:D326"/>
    <mergeCell ref="C327:D327"/>
    <mergeCell ref="C316:D316"/>
    <mergeCell ref="C317:D317"/>
    <mergeCell ref="C318:D318"/>
    <mergeCell ref="C319:D319"/>
    <mergeCell ref="C320:D320"/>
    <mergeCell ref="C321:D321"/>
    <mergeCell ref="C334:D334"/>
    <mergeCell ref="C335:D335"/>
    <mergeCell ref="C336:D336"/>
    <mergeCell ref="C337:D337"/>
    <mergeCell ref="C338:D338"/>
    <mergeCell ref="C339:D339"/>
    <mergeCell ref="C328:D328"/>
    <mergeCell ref="C329:D329"/>
    <mergeCell ref="C330:D330"/>
    <mergeCell ref="C331:D331"/>
    <mergeCell ref="C332:D332"/>
    <mergeCell ref="C333:D333"/>
    <mergeCell ref="C346:D346"/>
    <mergeCell ref="C347:D347"/>
    <mergeCell ref="C348:D348"/>
    <mergeCell ref="C349:D349"/>
    <mergeCell ref="C350:D350"/>
    <mergeCell ref="C351:D351"/>
    <mergeCell ref="C340:D340"/>
    <mergeCell ref="C341:D341"/>
    <mergeCell ref="C342:D342"/>
    <mergeCell ref="C343:D343"/>
    <mergeCell ref="C344:D344"/>
    <mergeCell ref="C345:D345"/>
    <mergeCell ref="C358:D358"/>
    <mergeCell ref="C359:D359"/>
    <mergeCell ref="C360:D360"/>
    <mergeCell ref="C361:D361"/>
    <mergeCell ref="C362:D362"/>
    <mergeCell ref="C363:D363"/>
    <mergeCell ref="C352:D352"/>
    <mergeCell ref="C353:D353"/>
    <mergeCell ref="C354:D354"/>
    <mergeCell ref="C355:D355"/>
    <mergeCell ref="C356:D356"/>
    <mergeCell ref="C357:D357"/>
    <mergeCell ref="C370:D370"/>
    <mergeCell ref="C371:D371"/>
    <mergeCell ref="C372:D372"/>
    <mergeCell ref="C373:D373"/>
    <mergeCell ref="C374:D374"/>
    <mergeCell ref="C375:D375"/>
    <mergeCell ref="C364:D364"/>
    <mergeCell ref="C365:D365"/>
    <mergeCell ref="C366:D366"/>
    <mergeCell ref="C367:D367"/>
    <mergeCell ref="C368:D368"/>
    <mergeCell ref="C369:D369"/>
    <mergeCell ref="C382:D382"/>
    <mergeCell ref="C383:D383"/>
    <mergeCell ref="C384:D384"/>
    <mergeCell ref="C385:D385"/>
    <mergeCell ref="C386:D386"/>
    <mergeCell ref="C387:D387"/>
    <mergeCell ref="C376:D376"/>
    <mergeCell ref="C377:D377"/>
    <mergeCell ref="C378:D378"/>
    <mergeCell ref="C379:D379"/>
    <mergeCell ref="C380:D380"/>
    <mergeCell ref="C381:D381"/>
    <mergeCell ref="C394:D394"/>
    <mergeCell ref="C395:D395"/>
    <mergeCell ref="C396:D396"/>
    <mergeCell ref="C397:D397"/>
    <mergeCell ref="C398:D398"/>
    <mergeCell ref="C399:D399"/>
    <mergeCell ref="C388:D388"/>
    <mergeCell ref="C389:D389"/>
    <mergeCell ref="C390:D390"/>
    <mergeCell ref="C391:D391"/>
    <mergeCell ref="C392:D392"/>
    <mergeCell ref="C393:D393"/>
    <mergeCell ref="C406:D406"/>
    <mergeCell ref="C407:D407"/>
    <mergeCell ref="C408:D408"/>
    <mergeCell ref="C409:D409"/>
    <mergeCell ref="C410:D410"/>
    <mergeCell ref="C411:D411"/>
    <mergeCell ref="C400:D400"/>
    <mergeCell ref="C401:D401"/>
    <mergeCell ref="C402:D402"/>
    <mergeCell ref="C403:D403"/>
    <mergeCell ref="C404:D404"/>
    <mergeCell ref="C405:D405"/>
  </mergeCells>
  <phoneticPr fontId="4"/>
  <conditionalFormatting sqref="A2:A101">
    <cfRule type="expression" dxfId="2" priority="1">
      <formula>ISBLANK($A2)</formula>
    </cfRule>
    <cfRule type="expression" dxfId="1" priority="2">
      <formula>OR($A2&lt;$F$6,$F$7&lt;$A2)</formula>
    </cfRule>
  </conditionalFormatting>
  <dataValidations count="2">
    <dataValidation type="list" allowBlank="1" showInputMessage="1" showErrorMessage="1" sqref="G15:G19 B2:B200" xr:uid="{4FADBDA4-4390-4B29-AE2D-A9F57446AF8E}">
      <formula1>OFFSET($B$202,,,COUNTA($B$202:$B$411))</formula1>
    </dataValidation>
    <dataValidation type="list" allowBlank="1" showInputMessage="1" showErrorMessage="1" sqref="G20:G24" xr:uid="{98021805-1517-437A-AAE7-C5EC95E2F914}">
      <formula1>$B$202:$B$411</formula1>
    </dataValidation>
  </dataValidations>
  <pageMargins left="0.7" right="0.7" top="0.75" bottom="0.75" header="0.3" footer="0.3"/>
  <pageSetup paperSize="9" scale="61" orientation="portrait" r:id="rId1"/>
  <rowBreaks count="1" manualBreakCount="1">
    <brk id="200" max="3" man="1"/>
  </rowBreaks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2</vt:i4>
      </vt:variant>
    </vt:vector>
  </HeadingPairs>
  <TitlesOfParts>
    <vt:vector size="4" baseType="lpstr">
      <vt:lpstr>202207</vt:lpstr>
      <vt:lpstr>時間詳細</vt:lpstr>
      <vt:lpstr>'202207'!Print_Area</vt:lpstr>
      <vt:lpstr>時間詳細!Print_Area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Hiraoka</dc:creator>
  <cp:keywords/>
  <dc:description/>
  <cp:lastModifiedBy>FUKUDA_Taichi</cp:lastModifiedBy>
  <cp:revision/>
  <cp:lastPrinted>2020-10-12T01:14:13Z</cp:lastPrinted>
  <dcterms:created xsi:type="dcterms:W3CDTF">1997-01-08T22:48:59Z</dcterms:created>
  <dcterms:modified xsi:type="dcterms:W3CDTF">2022-08-01T02:16:18Z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699fc375-6bbf-4184-8fe4-bba088e5d897</vt:lpwstr>
  </property>
</Properties>
</file>